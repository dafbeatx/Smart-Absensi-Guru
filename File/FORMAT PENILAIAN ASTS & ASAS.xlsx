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MATAS\Downloads\"/>
    </mc:Choice>
  </mc:AlternateContent>
  <xr:revisionPtr revIDLastSave="0" documentId="13_ncr:1_{10FA38C8-0225-4265-9380-0BC99C792A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DENTITAS SEKOLAH" sheetId="1" r:id="rId1"/>
    <sheet name="FORMAT PENILAIAN" sheetId="2" r:id="rId2"/>
    <sheet name="7" sheetId="3" r:id="rId3"/>
    <sheet name="8A" sheetId="4" r:id="rId4"/>
    <sheet name="8B" sheetId="5" r:id="rId5"/>
    <sheet name="9A" sheetId="6" r:id="rId6"/>
    <sheet name="9B" sheetId="7" r:id="rId7"/>
    <sheet name="SMA" sheetId="8" r:id="rId8"/>
  </sheets>
  <definedNames>
    <definedName name="_xlnm._FilterDatabase" localSheetId="2" hidden="1">'7'!$A$8:$I$39</definedName>
    <definedName name="_xlnm._FilterDatabase" localSheetId="3" hidden="1">'8A'!$A$8:$I$23</definedName>
    <definedName name="_xlnm._FilterDatabase" localSheetId="4" hidden="1">'8B'!$A$8:$I$37</definedName>
    <definedName name="_xlnm._FilterDatabase" localSheetId="5" hidden="1">'9A'!$A$8:$I$28</definedName>
    <definedName name="_xlnm._FilterDatabase" localSheetId="6" hidden="1">'9B'!$A$8:$I$34</definedName>
    <definedName name="_xlnm._FilterDatabase" localSheetId="7" hidden="1">SMA!$A$8:$I$31</definedName>
    <definedName name="_xlnm.Print_Area" localSheetId="2">'7'!$A$1:$I$51</definedName>
    <definedName name="_xlnm.Print_Area" localSheetId="3">'8A'!$A$1:$I$35</definedName>
    <definedName name="_xlnm.Print_Area" localSheetId="4">'8B'!$A$1:$I$49</definedName>
    <definedName name="_xlnm.Print_Area" localSheetId="5">'9A'!$A$1:$I$40</definedName>
    <definedName name="_xlnm.Print_Area" localSheetId="6">'9B'!$A$1:$I$46</definedName>
    <definedName name="_xlnm.Print_Area" localSheetId="7">SMA!$A$1:$I$43</definedName>
    <definedName name="_xlnm.Print_Titles" localSheetId="2">'7'!$1:$8</definedName>
    <definedName name="_xlnm.Print_Titles" localSheetId="3">'8A'!$1:$8</definedName>
    <definedName name="_xlnm.Print_Titles" localSheetId="4">'8B'!$1:$8</definedName>
    <definedName name="_xlnm.Print_Titles" localSheetId="5">'9A'!$1:$8</definedName>
    <definedName name="_xlnm.Print_Titles" localSheetId="6">'9B'!$1:$8</definedName>
    <definedName name="_xlnm.Print_Titles" localSheetId="7">SMA!$1:$8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8" l="1"/>
  <c r="B35" i="8"/>
  <c r="E5" i="8"/>
  <c r="B5" i="8"/>
  <c r="H4" i="8"/>
  <c r="E4" i="8"/>
  <c r="B44" i="7"/>
  <c r="B38" i="7"/>
  <c r="E5" i="7"/>
  <c r="B5" i="7"/>
  <c r="H4" i="7"/>
  <c r="E4" i="7"/>
  <c r="B38" i="6"/>
  <c r="B32" i="6"/>
  <c r="E5" i="6"/>
  <c r="B5" i="6"/>
  <c r="H4" i="6"/>
  <c r="E4" i="6"/>
  <c r="B47" i="5"/>
  <c r="B41" i="5"/>
  <c r="E5" i="5"/>
  <c r="B5" i="5"/>
  <c r="H4" i="5"/>
  <c r="E4" i="5"/>
  <c r="B33" i="4"/>
  <c r="B27" i="4"/>
  <c r="E5" i="4"/>
  <c r="B5" i="4"/>
  <c r="H4" i="4"/>
  <c r="E4" i="4"/>
  <c r="B49" i="3"/>
  <c r="B43" i="3"/>
  <c r="E5" i="3"/>
  <c r="B5" i="3"/>
  <c r="H4" i="3"/>
  <c r="E4" i="3"/>
  <c r="H14" i="2"/>
  <c r="F12" i="6" s="1"/>
  <c r="F19" i="7" l="1"/>
  <c r="G19" i="7" s="1"/>
  <c r="F17" i="3"/>
  <c r="H17" i="3" s="1"/>
  <c r="F34" i="7"/>
  <c r="G34" i="7" s="1"/>
  <c r="I34" i="7" s="1"/>
  <c r="F12" i="3"/>
  <c r="G12" i="3" s="1"/>
  <c r="F22" i="3"/>
  <c r="H22" i="3" s="1"/>
  <c r="F23" i="5"/>
  <c r="G23" i="5" s="1"/>
  <c r="F23" i="3"/>
  <c r="H23" i="3" s="1"/>
  <c r="F24" i="5"/>
  <c r="G24" i="5" s="1"/>
  <c r="I24" i="5" s="1"/>
  <c r="F9" i="6"/>
  <c r="G9" i="6" s="1"/>
  <c r="I9" i="6" s="1"/>
  <c r="F28" i="7"/>
  <c r="G28" i="7" s="1"/>
  <c r="I28" i="7" s="1"/>
  <c r="F13" i="4"/>
  <c r="H13" i="4" s="1"/>
  <c r="F23" i="4"/>
  <c r="H23" i="4" s="1"/>
  <c r="F29" i="3"/>
  <c r="H29" i="3" s="1"/>
  <c r="F11" i="5"/>
  <c r="G11" i="5" s="1"/>
  <c r="F12" i="5"/>
  <c r="H12" i="5" s="1"/>
  <c r="F30" i="3"/>
  <c r="G30" i="3" s="1"/>
  <c r="F29" i="5"/>
  <c r="H29" i="5" s="1"/>
  <c r="F37" i="3"/>
  <c r="H37" i="3" s="1"/>
  <c r="F38" i="3"/>
  <c r="H38" i="3" s="1"/>
  <c r="F20" i="8"/>
  <c r="G20" i="8" s="1"/>
  <c r="F28" i="5"/>
  <c r="H28" i="5" s="1"/>
  <c r="F31" i="3"/>
  <c r="G31" i="3" s="1"/>
  <c r="F23" i="8"/>
  <c r="G23" i="8" s="1"/>
  <c r="H5" i="3"/>
  <c r="F9" i="3"/>
  <c r="G9" i="3" s="1"/>
  <c r="F18" i="3"/>
  <c r="G18" i="3" s="1"/>
  <c r="F35" i="3"/>
  <c r="H35" i="3" s="1"/>
  <c r="F33" i="5"/>
  <c r="H33" i="5" s="1"/>
  <c r="F11" i="8"/>
  <c r="G11" i="8" s="1"/>
  <c r="F10" i="3"/>
  <c r="H10" i="3" s="1"/>
  <c r="F19" i="3"/>
  <c r="H19" i="3" s="1"/>
  <c r="F36" i="3"/>
  <c r="H36" i="3" s="1"/>
  <c r="F34" i="5"/>
  <c r="G34" i="5" s="1"/>
  <c r="I34" i="5" s="1"/>
  <c r="F14" i="8"/>
  <c r="G14" i="8" s="1"/>
  <c r="F14" i="3"/>
  <c r="F39" i="3"/>
  <c r="H39" i="3" s="1"/>
  <c r="F14" i="4"/>
  <c r="G14" i="4" s="1"/>
  <c r="F16" i="5"/>
  <c r="H16" i="5" s="1"/>
  <c r="F15" i="6"/>
  <c r="G15" i="6" s="1"/>
  <c r="F29" i="8"/>
  <c r="G29" i="8" s="1"/>
  <c r="H15" i="2"/>
  <c r="F26" i="3"/>
  <c r="H26" i="3" s="1"/>
  <c r="F15" i="4"/>
  <c r="H15" i="4" s="1"/>
  <c r="F17" i="5"/>
  <c r="H17" i="5" s="1"/>
  <c r="F21" i="6"/>
  <c r="G21" i="6" s="1"/>
  <c r="F15" i="3"/>
  <c r="H15" i="3" s="1"/>
  <c r="F27" i="3"/>
  <c r="H27" i="3" s="1"/>
  <c r="F17" i="4"/>
  <c r="G17" i="4" s="1"/>
  <c r="I17" i="4" s="1"/>
  <c r="F18" i="5"/>
  <c r="H18" i="5" s="1"/>
  <c r="F16" i="3"/>
  <c r="H16" i="3" s="1"/>
  <c r="F28" i="3"/>
  <c r="H28" i="3" s="1"/>
  <c r="F22" i="4"/>
  <c r="G22" i="4" s="1"/>
  <c r="F22" i="5"/>
  <c r="G22" i="5" s="1"/>
  <c r="I22" i="5" s="1"/>
  <c r="F10" i="7"/>
  <c r="G10" i="7" s="1"/>
  <c r="H12" i="6"/>
  <c r="G12" i="6"/>
  <c r="I12" i="6" s="1"/>
  <c r="F11" i="3"/>
  <c r="F21" i="3"/>
  <c r="F25" i="3"/>
  <c r="F34" i="3"/>
  <c r="F12" i="4"/>
  <c r="F21" i="4"/>
  <c r="F27" i="5"/>
  <c r="F32" i="5"/>
  <c r="F37" i="5"/>
  <c r="F25" i="7"/>
  <c r="F9" i="4"/>
  <c r="F18" i="4"/>
  <c r="F13" i="5"/>
  <c r="F24" i="6"/>
  <c r="F13" i="7"/>
  <c r="F10" i="4"/>
  <c r="F19" i="4"/>
  <c r="F9" i="5"/>
  <c r="F14" i="5"/>
  <c r="F19" i="5"/>
  <c r="F11" i="6"/>
  <c r="F18" i="6"/>
  <c r="F13" i="3"/>
  <c r="F32" i="3"/>
  <c r="F30" i="5"/>
  <c r="F35" i="5"/>
  <c r="F22" i="7"/>
  <c r="F17" i="8"/>
  <c r="F26" i="8"/>
  <c r="F15" i="5"/>
  <c r="F20" i="5"/>
  <c r="F25" i="5"/>
  <c r="F30" i="8"/>
  <c r="F27" i="8"/>
  <c r="F24" i="8"/>
  <c r="F21" i="8"/>
  <c r="F18" i="8"/>
  <c r="F15" i="8"/>
  <c r="F12" i="8"/>
  <c r="F9" i="8"/>
  <c r="F32" i="7"/>
  <c r="F29" i="7"/>
  <c r="F26" i="7"/>
  <c r="F23" i="7"/>
  <c r="F20" i="7"/>
  <c r="F17" i="7"/>
  <c r="F14" i="7"/>
  <c r="F11" i="7"/>
  <c r="F28" i="6"/>
  <c r="F25" i="6"/>
  <c r="F22" i="6"/>
  <c r="F19" i="6"/>
  <c r="F16" i="6"/>
  <c r="F13" i="6"/>
  <c r="F10" i="6"/>
  <c r="H5" i="8"/>
  <c r="H5" i="5"/>
  <c r="H5" i="6"/>
  <c r="F31" i="8"/>
  <c r="F28" i="8"/>
  <c r="F25" i="8"/>
  <c r="F22" i="8"/>
  <c r="F19" i="8"/>
  <c r="F16" i="8"/>
  <c r="F13" i="8"/>
  <c r="F10" i="8"/>
  <c r="F33" i="7"/>
  <c r="F30" i="7"/>
  <c r="F27" i="7"/>
  <c r="F24" i="7"/>
  <c r="F21" i="7"/>
  <c r="F18" i="7"/>
  <c r="F15" i="7"/>
  <c r="F12" i="7"/>
  <c r="F9" i="7"/>
  <c r="F26" i="6"/>
  <c r="F23" i="6"/>
  <c r="F20" i="6"/>
  <c r="F17" i="6"/>
  <c r="F14" i="6"/>
  <c r="H5" i="7"/>
  <c r="H5" i="4"/>
  <c r="F20" i="3"/>
  <c r="F24" i="3"/>
  <c r="F33" i="3"/>
  <c r="F11" i="4"/>
  <c r="F20" i="4"/>
  <c r="F10" i="5"/>
  <c r="F36" i="5"/>
  <c r="F27" i="6"/>
  <c r="F16" i="7"/>
  <c r="F16" i="4"/>
  <c r="F21" i="5"/>
  <c r="F26" i="5"/>
  <c r="F31" i="5"/>
  <c r="F31" i="7"/>
  <c r="H34" i="7" l="1"/>
  <c r="I19" i="7"/>
  <c r="G36" i="3"/>
  <c r="I36" i="3" s="1"/>
  <c r="H31" i="3"/>
  <c r="H12" i="3"/>
  <c r="I12" i="3"/>
  <c r="H21" i="6"/>
  <c r="G22" i="3"/>
  <c r="I22" i="3" s="1"/>
  <c r="G23" i="3"/>
  <c r="I23" i="3" s="1"/>
  <c r="I22" i="4"/>
  <c r="G29" i="5"/>
  <c r="I29" i="5" s="1"/>
  <c r="G23" i="4"/>
  <c r="I23" i="4" s="1"/>
  <c r="G10" i="3"/>
  <c r="I10" i="3" s="1"/>
  <c r="H19" i="7"/>
  <c r="H9" i="6"/>
  <c r="H24" i="5"/>
  <c r="I23" i="5"/>
  <c r="H23" i="5"/>
  <c r="G29" i="3"/>
  <c r="I29" i="3" s="1"/>
  <c r="H18" i="3"/>
  <c r="H23" i="8"/>
  <c r="G13" i="4"/>
  <c r="I13" i="4" s="1"/>
  <c r="H28" i="7"/>
  <c r="H30" i="3"/>
  <c r="G12" i="5"/>
  <c r="I12" i="5" s="1"/>
  <c r="G39" i="3"/>
  <c r="I39" i="3" s="1"/>
  <c r="G17" i="3"/>
  <c r="I17" i="3" s="1"/>
  <c r="I9" i="3"/>
  <c r="I11" i="5"/>
  <c r="G28" i="5"/>
  <c r="I28" i="5" s="1"/>
  <c r="G37" i="3"/>
  <c r="I37" i="3" s="1"/>
  <c r="H15" i="6"/>
  <c r="G28" i="3"/>
  <c r="I28" i="3" s="1"/>
  <c r="I30" i="3"/>
  <c r="I23" i="8"/>
  <c r="G16" i="5"/>
  <c r="I16" i="5" s="1"/>
  <c r="H11" i="5"/>
  <c r="G35" i="3"/>
  <c r="I35" i="3" s="1"/>
  <c r="I20" i="8"/>
  <c r="G27" i="3"/>
  <c r="I27" i="3" s="1"/>
  <c r="G18" i="5"/>
  <c r="I18" i="5" s="1"/>
  <c r="H20" i="8"/>
  <c r="H11" i="8"/>
  <c r="I11" i="8"/>
  <c r="G38" i="3"/>
  <c r="I38" i="3" s="1"/>
  <c r="H22" i="5"/>
  <c r="I15" i="6"/>
  <c r="G19" i="3"/>
  <c r="I19" i="3" s="1"/>
  <c r="G15" i="3"/>
  <c r="I15" i="3" s="1"/>
  <c r="I18" i="3"/>
  <c r="H22" i="4"/>
  <c r="G16" i="3"/>
  <c r="I16" i="3" s="1"/>
  <c r="H9" i="3"/>
  <c r="I31" i="3"/>
  <c r="H10" i="7"/>
  <c r="G15" i="4"/>
  <c r="I15" i="4" s="1"/>
  <c r="I14" i="4"/>
  <c r="I10" i="7"/>
  <c r="H34" i="5"/>
  <c r="H14" i="8"/>
  <c r="H17" i="4"/>
  <c r="G33" i="5"/>
  <c r="I33" i="5" s="1"/>
  <c r="I14" i="8"/>
  <c r="I21" i="6"/>
  <c r="B37" i="6"/>
  <c r="G14" i="3"/>
  <c r="I14" i="3" s="1"/>
  <c r="H14" i="3"/>
  <c r="H14" i="4"/>
  <c r="H29" i="8"/>
  <c r="G17" i="5"/>
  <c r="I17" i="5" s="1"/>
  <c r="I29" i="8"/>
  <c r="G26" i="3"/>
  <c r="I26" i="3" s="1"/>
  <c r="G30" i="8"/>
  <c r="I30" i="8" s="1"/>
  <c r="H30" i="8"/>
  <c r="G25" i="3"/>
  <c r="I25" i="3" s="1"/>
  <c r="H25" i="3"/>
  <c r="H16" i="7"/>
  <c r="G16" i="7"/>
  <c r="I16" i="7" s="1"/>
  <c r="G24" i="7"/>
  <c r="I24" i="7" s="1"/>
  <c r="H24" i="7"/>
  <c r="G17" i="7"/>
  <c r="I17" i="7" s="1"/>
  <c r="H17" i="7"/>
  <c r="G27" i="8"/>
  <c r="I27" i="8" s="1"/>
  <c r="H27" i="8"/>
  <c r="H14" i="5"/>
  <c r="G14" i="5"/>
  <c r="I14" i="5" s="1"/>
  <c r="H10" i="4"/>
  <c r="G10" i="4"/>
  <c r="I10" i="4" s="1"/>
  <c r="G34" i="3"/>
  <c r="I34" i="3" s="1"/>
  <c r="H34" i="3"/>
  <c r="H11" i="4"/>
  <c r="G11" i="4"/>
  <c r="I11" i="4" s="1"/>
  <c r="G20" i="6"/>
  <c r="I20" i="6" s="1"/>
  <c r="H20" i="6"/>
  <c r="G10" i="8"/>
  <c r="I10" i="8" s="1"/>
  <c r="H10" i="8"/>
  <c r="H13" i="6"/>
  <c r="G13" i="6"/>
  <c r="I13" i="6" s="1"/>
  <c r="H29" i="7"/>
  <c r="G29" i="7"/>
  <c r="I29" i="7" s="1"/>
  <c r="H22" i="7"/>
  <c r="G22" i="7"/>
  <c r="I22" i="7" s="1"/>
  <c r="H13" i="3"/>
  <c r="G13" i="3"/>
  <c r="H32" i="5"/>
  <c r="G32" i="5"/>
  <c r="I32" i="5" s="1"/>
  <c r="H20" i="7"/>
  <c r="G20" i="7"/>
  <c r="I20" i="7" s="1"/>
  <c r="G30" i="7"/>
  <c r="I30" i="7" s="1"/>
  <c r="H30" i="7"/>
  <c r="H26" i="7"/>
  <c r="G26" i="7"/>
  <c r="I26" i="7" s="1"/>
  <c r="G16" i="4"/>
  <c r="I16" i="4" s="1"/>
  <c r="H16" i="4"/>
  <c r="G23" i="6"/>
  <c r="I23" i="6" s="1"/>
  <c r="H23" i="6"/>
  <c r="G13" i="8"/>
  <c r="I13" i="8" s="1"/>
  <c r="H13" i="8"/>
  <c r="G16" i="6"/>
  <c r="I16" i="6" s="1"/>
  <c r="H16" i="6"/>
  <c r="G32" i="7"/>
  <c r="I32" i="7" s="1"/>
  <c r="H32" i="7"/>
  <c r="H27" i="5"/>
  <c r="G27" i="5"/>
  <c r="I27" i="5" s="1"/>
  <c r="H20" i="4"/>
  <c r="G20" i="4"/>
  <c r="I20" i="4" s="1"/>
  <c r="G21" i="3"/>
  <c r="I21" i="3" s="1"/>
  <c r="H21" i="3"/>
  <c r="G11" i="3"/>
  <c r="I11" i="3" s="1"/>
  <c r="H11" i="3"/>
  <c r="H31" i="7"/>
  <c r="G31" i="7"/>
  <c r="I31" i="7" s="1"/>
  <c r="B48" i="3"/>
  <c r="G26" i="6"/>
  <c r="I26" i="6" s="1"/>
  <c r="H26" i="6"/>
  <c r="G16" i="8"/>
  <c r="I16" i="8" s="1"/>
  <c r="H16" i="8"/>
  <c r="H19" i="6"/>
  <c r="G19" i="6"/>
  <c r="I19" i="6" s="1"/>
  <c r="B40" i="8"/>
  <c r="G9" i="8"/>
  <c r="I9" i="8" s="1"/>
  <c r="B39" i="8"/>
  <c r="H9" i="8"/>
  <c r="G25" i="5"/>
  <c r="I25" i="5" s="1"/>
  <c r="H25" i="5"/>
  <c r="H18" i="6"/>
  <c r="G18" i="6"/>
  <c r="I18" i="6" s="1"/>
  <c r="B47" i="3"/>
  <c r="H17" i="8"/>
  <c r="G17" i="8"/>
  <c r="I17" i="8" s="1"/>
  <c r="H27" i="6"/>
  <c r="G27" i="6"/>
  <c r="I27" i="6" s="1"/>
  <c r="G37" i="5"/>
  <c r="I37" i="5" s="1"/>
  <c r="H37" i="5"/>
  <c r="H33" i="3"/>
  <c r="G33" i="3"/>
  <c r="I33" i="3" s="1"/>
  <c r="B43" i="7"/>
  <c r="G9" i="7"/>
  <c r="I9" i="7" s="1"/>
  <c r="B42" i="7"/>
  <c r="H9" i="7"/>
  <c r="G19" i="8"/>
  <c r="I19" i="8" s="1"/>
  <c r="H19" i="8"/>
  <c r="G22" i="6"/>
  <c r="I22" i="6" s="1"/>
  <c r="H22" i="6"/>
  <c r="G12" i="8"/>
  <c r="I12" i="8" s="1"/>
  <c r="H12" i="8"/>
  <c r="H20" i="5"/>
  <c r="G20" i="5"/>
  <c r="I20" i="5" s="1"/>
  <c r="G11" i="6"/>
  <c r="I11" i="6" s="1"/>
  <c r="H11" i="6"/>
  <c r="B45" i="5"/>
  <c r="B46" i="5"/>
  <c r="H9" i="5"/>
  <c r="G9" i="5"/>
  <c r="G17" i="6"/>
  <c r="I17" i="6" s="1"/>
  <c r="H17" i="6"/>
  <c r="G13" i="5"/>
  <c r="I13" i="5" s="1"/>
  <c r="H13" i="5"/>
  <c r="H36" i="5"/>
  <c r="G36" i="5"/>
  <c r="I36" i="5" s="1"/>
  <c r="G12" i="7"/>
  <c r="I12" i="7" s="1"/>
  <c r="H12" i="7"/>
  <c r="G22" i="8"/>
  <c r="I22" i="8" s="1"/>
  <c r="H22" i="8"/>
  <c r="H25" i="6"/>
  <c r="G25" i="6"/>
  <c r="I25" i="6" s="1"/>
  <c r="G15" i="8"/>
  <c r="I15" i="8" s="1"/>
  <c r="H15" i="8"/>
  <c r="H15" i="5"/>
  <c r="G15" i="5"/>
  <c r="I15" i="5" s="1"/>
  <c r="G14" i="6"/>
  <c r="I14" i="6" s="1"/>
  <c r="H14" i="6"/>
  <c r="G33" i="7"/>
  <c r="I33" i="7" s="1"/>
  <c r="H33" i="7"/>
  <c r="G31" i="5"/>
  <c r="I31" i="5" s="1"/>
  <c r="H31" i="5"/>
  <c r="G10" i="5"/>
  <c r="I10" i="5" s="1"/>
  <c r="H10" i="5"/>
  <c r="H24" i="3"/>
  <c r="G24" i="3"/>
  <c r="I24" i="3" s="1"/>
  <c r="G15" i="7"/>
  <c r="I15" i="7" s="1"/>
  <c r="H15" i="7"/>
  <c r="G25" i="8"/>
  <c r="I25" i="8" s="1"/>
  <c r="H25" i="8"/>
  <c r="G28" i="6"/>
  <c r="I28" i="6" s="1"/>
  <c r="H28" i="6"/>
  <c r="G18" i="8"/>
  <c r="I18" i="8" s="1"/>
  <c r="H18" i="8"/>
  <c r="G18" i="4"/>
  <c r="I18" i="4" s="1"/>
  <c r="H18" i="4"/>
  <c r="H23" i="7"/>
  <c r="G23" i="7"/>
  <c r="I23" i="7" s="1"/>
  <c r="H10" i="6"/>
  <c r="G10" i="6"/>
  <c r="I10" i="6" s="1"/>
  <c r="H26" i="5"/>
  <c r="G26" i="5"/>
  <c r="I26" i="5" s="1"/>
  <c r="H20" i="3"/>
  <c r="G20" i="3"/>
  <c r="G18" i="7"/>
  <c r="I18" i="7" s="1"/>
  <c r="H18" i="7"/>
  <c r="G28" i="8"/>
  <c r="I28" i="8" s="1"/>
  <c r="H28" i="8"/>
  <c r="H11" i="7"/>
  <c r="G11" i="7"/>
  <c r="I11" i="7" s="1"/>
  <c r="G21" i="8"/>
  <c r="I21" i="8" s="1"/>
  <c r="H21" i="8"/>
  <c r="B36" i="6"/>
  <c r="H35" i="5"/>
  <c r="G35" i="5"/>
  <c r="I35" i="5" s="1"/>
  <c r="H19" i="4"/>
  <c r="G19" i="4"/>
  <c r="I19" i="4" s="1"/>
  <c r="H13" i="7"/>
  <c r="G13" i="7"/>
  <c r="I13" i="7" s="1"/>
  <c r="B32" i="4"/>
  <c r="G9" i="4"/>
  <c r="I9" i="4" s="1"/>
  <c r="B31" i="4"/>
  <c r="H9" i="4"/>
  <c r="G21" i="4"/>
  <c r="I21" i="4" s="1"/>
  <c r="H21" i="4"/>
  <c r="G27" i="7"/>
  <c r="I27" i="7" s="1"/>
  <c r="H27" i="7"/>
  <c r="H26" i="8"/>
  <c r="G26" i="8"/>
  <c r="I26" i="8" s="1"/>
  <c r="G21" i="5"/>
  <c r="I21" i="5" s="1"/>
  <c r="H21" i="5"/>
  <c r="G21" i="7"/>
  <c r="I21" i="7" s="1"/>
  <c r="H21" i="7"/>
  <c r="G31" i="8"/>
  <c r="I31" i="8" s="1"/>
  <c r="H31" i="8"/>
  <c r="H14" i="7"/>
  <c r="G14" i="7"/>
  <c r="I14" i="7" s="1"/>
  <c r="G24" i="8"/>
  <c r="I24" i="8" s="1"/>
  <c r="H24" i="8"/>
  <c r="H30" i="5"/>
  <c r="G30" i="5"/>
  <c r="I30" i="5" s="1"/>
  <c r="G32" i="3"/>
  <c r="I32" i="3" s="1"/>
  <c r="H32" i="3"/>
  <c r="G19" i="5"/>
  <c r="I19" i="5" s="1"/>
  <c r="H19" i="5"/>
  <c r="H24" i="6"/>
  <c r="G24" i="6"/>
  <c r="I24" i="6" s="1"/>
  <c r="H25" i="7"/>
  <c r="G25" i="7"/>
  <c r="I25" i="7" s="1"/>
  <c r="G12" i="4"/>
  <c r="I12" i="4" s="1"/>
  <c r="H12" i="4"/>
  <c r="F47" i="3" l="1"/>
  <c r="F45" i="3"/>
  <c r="B45" i="3"/>
  <c r="F34" i="6"/>
  <c r="B34" i="6"/>
  <c r="B33" i="6"/>
  <c r="B35" i="6" s="1"/>
  <c r="F45" i="5"/>
  <c r="F44" i="5"/>
  <c r="F43" i="5"/>
  <c r="F42" i="5"/>
  <c r="B40" i="7"/>
  <c r="B39" i="7"/>
  <c r="B41" i="7" s="1"/>
  <c r="I13" i="3"/>
  <c r="B29" i="4"/>
  <c r="B28" i="4"/>
  <c r="B30" i="4" s="1"/>
  <c r="B43" i="5"/>
  <c r="B42" i="5"/>
  <c r="B44" i="5" s="1"/>
  <c r="B37" i="8"/>
  <c r="B36" i="8"/>
  <c r="B38" i="8" s="1"/>
  <c r="F40" i="7"/>
  <c r="F39" i="7"/>
  <c r="F42" i="7"/>
  <c r="F41" i="7"/>
  <c r="F28" i="4"/>
  <c r="F30" i="4"/>
  <c r="F29" i="4"/>
  <c r="F31" i="4"/>
  <c r="I9" i="5"/>
  <c r="F39" i="8"/>
  <c r="F38" i="8"/>
  <c r="F37" i="8"/>
  <c r="F36" i="8"/>
  <c r="F35" i="6"/>
  <c r="I20" i="3"/>
  <c r="F36" i="6"/>
  <c r="B44" i="3"/>
  <c r="B46" i="3" s="1"/>
  <c r="F33" i="6"/>
  <c r="F44" i="3"/>
  <c r="F46" i="3"/>
</calcChain>
</file>

<file path=xl/sharedStrings.xml><?xml version="1.0" encoding="utf-8"?>
<sst xmlns="http://schemas.openxmlformats.org/spreadsheetml/2006/main" count="535" uniqueCount="229">
  <si>
    <t>SISTEM PENILAIAN</t>
  </si>
  <si>
    <t>DAFTAR GURU</t>
  </si>
  <si>
    <t>SMP TERPADU AL-ITTIHADIYAH</t>
  </si>
  <si>
    <t>Qodiatul Asrof Ramadoni, S.E., G.r</t>
  </si>
  <si>
    <t>M. Ridho Alfarizi</t>
  </si>
  <si>
    <t>Nama Sekolah</t>
  </si>
  <si>
    <t>SMP Terpadu Al-Ittihadiyah</t>
  </si>
  <si>
    <t>Adi Prasetyo, S.Pd., G.r</t>
  </si>
  <si>
    <t>NPSN</t>
  </si>
  <si>
    <t>69888998</t>
  </si>
  <si>
    <t>M. Iqbal Gustiawan, S.Pd., G.r</t>
  </si>
  <si>
    <t>Alamat</t>
  </si>
  <si>
    <t>Jl. Raya Cikampak No.296, Ciampea Udik, Kec. Ciampea, Kabupaten Bogor, Jawa Barat 16620</t>
  </si>
  <si>
    <t>Fitriani Rahayu, S.Mat</t>
  </si>
  <si>
    <t>Kepala Sekolah</t>
  </si>
  <si>
    <t>Farhan Sopian Sahid, S.Pd.I</t>
  </si>
  <si>
    <t>Septi Nur Aeni, S.E</t>
  </si>
  <si>
    <t>Tahun Pelajaran</t>
  </si>
  <si>
    <t>Windiani, S.E., G.r</t>
  </si>
  <si>
    <t>Semester</t>
  </si>
  <si>
    <t>Dafa Maulana, S.Pd</t>
  </si>
  <si>
    <t>Guru</t>
  </si>
  <si>
    <t>Nurul Farhiyah, S.Pd., G.r</t>
  </si>
  <si>
    <t>Mata Pelajaran</t>
  </si>
  <si>
    <t>Mira Nurdianti, S.Pd</t>
  </si>
  <si>
    <t>Widianingsih, S.Si., G.r</t>
  </si>
  <si>
    <t>Mawar Andinia, S.Pd., G.r</t>
  </si>
  <si>
    <t>PETUNJUK: Isi bagian berwarna kuning. Data pada sheet ini menjadi identitas umum workbook. Pengaturan bobot dan kriteria nilai dilakukan pada sheet 'FORMAT PENILAIAN'.</t>
  </si>
  <si>
    <t>FORMAT &amp; PENGATURAN PENILAIAN</t>
  </si>
  <si>
    <t>Komponen penilaian hanya ASAS dan ASTS. Bobot dapat diubah guru.</t>
  </si>
  <si>
    <t>PENGATURAN UMUM</t>
  </si>
  <si>
    <t>KKM / KKTP</t>
  </si>
  <si>
    <t>Nilai Maksimal</t>
  </si>
  <si>
    <t>Nilai Minimal</t>
  </si>
  <si>
    <t>Batas Predikat A</t>
  </si>
  <si>
    <t>Batas Predikat B</t>
  </si>
  <si>
    <t>Batas Predikat C</t>
  </si>
  <si>
    <t>Batas Predikat D</t>
  </si>
  <si>
    <t>KOMPONEN NILAI</t>
  </si>
  <si>
    <t>No</t>
  </si>
  <si>
    <t>Komponen Penilaian</t>
  </si>
  <si>
    <t>Bobot (%)</t>
  </si>
  <si>
    <t>Aktif</t>
  </si>
  <si>
    <t>Keterangan</t>
  </si>
  <si>
    <t>TOTAL BOBOT</t>
  </si>
  <si>
    <t>ASAS</t>
  </si>
  <si>
    <t>Ya</t>
  </si>
  <si>
    <t>Asesmen Sumatif Akhir Semester</t>
  </si>
  <si>
    <t>STATUS</t>
  </si>
  <si>
    <t>ASTS</t>
  </si>
  <si>
    <t>Asesmen Tengah Semester</t>
  </si>
  <si>
    <t>CATATAN: Penilaian hanya menggunakan ASAS dan ASTS. Bobot awal 50% + 50%. Guru dapat mengubah bobot pada kolom Bobot (%), tetapi TOTAL BOBOT harus 100%. KKM/KKTP ditetapkan 75.</t>
  </si>
  <si>
    <t>REKAP PENILAIAN PESERTA DIDIK</t>
  </si>
  <si>
    <t>Kelas</t>
  </si>
  <si>
    <t>7</t>
  </si>
  <si>
    <t>Total Bobot</t>
  </si>
  <si>
    <t>Nama Peserta Didik</t>
  </si>
  <si>
    <t>L/P</t>
  </si>
  <si>
    <t>Nilai Akhir</t>
  </si>
  <si>
    <t>Predikat</t>
  </si>
  <si>
    <t>Status</t>
  </si>
  <si>
    <t>Deskripsi</t>
  </si>
  <si>
    <t>AFHTAR SHAKIL</t>
  </si>
  <si>
    <t>L</t>
  </si>
  <si>
    <t>AKBAR AZHI MUGHNI</t>
  </si>
  <si>
    <t>AL-DAFI PUTRA ASYABANI</t>
  </si>
  <si>
    <t>FATTURAHMAN RANGGA</t>
  </si>
  <si>
    <t>HANIFAH AL-QUSYARI</t>
  </si>
  <si>
    <t>IFHAM FATHAR MUBAROK</t>
  </si>
  <si>
    <t>MUHAMAD ARDHIANSYAH</t>
  </si>
  <si>
    <t>MUHAMAD IBNU ZIKRA</t>
  </si>
  <si>
    <t>MUHAMAD MILAN AZKA</t>
  </si>
  <si>
    <t>MUHAMAD RIDWAN AULAH</t>
  </si>
  <si>
    <t>MUHAMMAD HAMDAN ZULFAN</t>
  </si>
  <si>
    <t>MUHAMMAD NABIEL ALQARANI</t>
  </si>
  <si>
    <t>MUHAMMAD RIAN</t>
  </si>
  <si>
    <t>ADIBA KHANSA AZ-ZAHRA</t>
  </si>
  <si>
    <t>P</t>
  </si>
  <si>
    <t>CALISA CANIA MARYAM</t>
  </si>
  <si>
    <t>DELISA QEREN SURFINA</t>
  </si>
  <si>
    <t>FITRIANI AZAHRA</t>
  </si>
  <si>
    <t>HILYA HIMMATUL ALIYAH</t>
  </si>
  <si>
    <t>KEISHA PUTRI ELIANA</t>
  </si>
  <si>
    <t>KINARA AZZAHRA</t>
  </si>
  <si>
    <t>NAIRA RUBBIATUL HIKMAH</t>
  </si>
  <si>
    <t>NAZMA MARATUN SOLIHAH</t>
  </si>
  <si>
    <t>RATU SITI MAGHFIROH</t>
  </si>
  <si>
    <t>SELA MUTIA NUR AZIMAH</t>
  </si>
  <si>
    <t>SHIRIN FATINA JASMIN</t>
  </si>
  <si>
    <t>SITI HANA</t>
  </si>
  <si>
    <t>SITI NADIPATUL MALA</t>
  </si>
  <si>
    <t>SYA'DATUN NISA</t>
  </si>
  <si>
    <t>TASYA NURASRI SETIAWAN</t>
  </si>
  <si>
    <t>VIODORA SHAKILA NUR ZAFIRA</t>
  </si>
  <si>
    <t>ZAHROFAL MAULA</t>
  </si>
  <si>
    <t>REKAP KELAS</t>
  </si>
  <si>
    <t>Jumlah Siswa</t>
  </si>
  <si>
    <t>Jumlah</t>
  </si>
  <si>
    <t>Siswa Tuntas</t>
  </si>
  <si>
    <t>A</t>
  </si>
  <si>
    <t>Belum Tuntas</t>
  </si>
  <si>
    <t>B</t>
  </si>
  <si>
    <t>Persentase Ketuntasan</t>
  </si>
  <si>
    <t>C</t>
  </si>
  <si>
    <t>Rata-rata Kelas</t>
  </si>
  <si>
    <t>D</t>
  </si>
  <si>
    <t>Nilai Tertinggi</t>
  </si>
  <si>
    <t>Nilai Terendah</t>
  </si>
  <si>
    <t>8A</t>
  </si>
  <si>
    <t>AMANDA HASNA MIRZA</t>
  </si>
  <si>
    <t>BILQIS AINUN NISSA</t>
  </si>
  <si>
    <t>CASKIA APRILIA</t>
  </si>
  <si>
    <t>KIRANA AURA ANWARUDIN</t>
  </si>
  <si>
    <t>NAJWA NUR FADILLAH</t>
  </si>
  <si>
    <t>NATASYA HOLIVAH</t>
  </si>
  <si>
    <t>RADISTI PUTRI RIANTI</t>
  </si>
  <si>
    <t>RIZKA LIANA HAKIM</t>
  </si>
  <si>
    <t>SANTIKA</t>
  </si>
  <si>
    <t>SITI RUKOYAH</t>
  </si>
  <si>
    <t>SUCI RAHMAWATI</t>
  </si>
  <si>
    <t>TASYIRA AFIFA</t>
  </si>
  <si>
    <t>WANDA INDRIANI</t>
  </si>
  <si>
    <t>YOLA AULIA SANTOSO</t>
  </si>
  <si>
    <t>YUNA HANDAYANI</t>
  </si>
  <si>
    <t>8B</t>
  </si>
  <si>
    <t>ABILA YAZID RIZAQI</t>
  </si>
  <si>
    <t>ADRIAN PUTRA NUGRAHA</t>
  </si>
  <si>
    <t>AFNAN SYAKIR AZ-ZAKWAN</t>
  </si>
  <si>
    <t>FAQIH SIROJUL MUKTI</t>
  </si>
  <si>
    <t>FARDHAN HANIF</t>
  </si>
  <si>
    <t>FAUZI FADILAH</t>
  </si>
  <si>
    <t>FERDIANSYAH</t>
  </si>
  <si>
    <t>LEONEL PUTRA PRATAMA</t>
  </si>
  <si>
    <t>LUTFI ADITYA</t>
  </si>
  <si>
    <t>MARVHEL PUTRA IHSANUL ALIM</t>
  </si>
  <si>
    <t>MOCHAMAD GHALIH HAQIKI</t>
  </si>
  <si>
    <t>MUHAMAD AL FAZRI</t>
  </si>
  <si>
    <t>MUHAMAD FIRDAUS AKBAR</t>
  </si>
  <si>
    <t>MUHAMAD GIBRAN AL HABSI</t>
  </si>
  <si>
    <t>MUHAMAD HAFIDZ TRI HENDRIAWAN</t>
  </si>
  <si>
    <t>MUHAMAD ILHAM AZZIKRA</t>
  </si>
  <si>
    <t>MUHAMAD KAHRIL ZIBRAN</t>
  </si>
  <si>
    <t>MUHAMAD MUSSYAF IKRAMUDIN</t>
  </si>
  <si>
    <t>MUHAMAD RAKA ADITYA</t>
  </si>
  <si>
    <t>MUHAMAD RIZAL PRATAMA</t>
  </si>
  <si>
    <t>MUHAMMAD ADWA ALFATAH</t>
  </si>
  <si>
    <t>MUHAMMAD AKBAR NUR RIZKI</t>
  </si>
  <si>
    <t>MUHAMMAD KHOERUL ADZAM</t>
  </si>
  <si>
    <t>MUHAMMAD ZIBAN AL ABROR</t>
  </si>
  <si>
    <t>ROMADONI</t>
  </si>
  <si>
    <t>SATRIA AQILLA PURNAMA</t>
  </si>
  <si>
    <t>SYAHRUL FAUJAN</t>
  </si>
  <si>
    <t>YUSUF SAPUTRA</t>
  </si>
  <si>
    <t>NAFIL KHAIRIL AMRIL</t>
  </si>
  <si>
    <t>9A</t>
  </si>
  <si>
    <t>ADELIA ZAFIRAH BILQIZ</t>
  </si>
  <si>
    <t>AJENG ALIFATUL KHOIR</t>
  </si>
  <si>
    <t>ALIKA SAYLA INDRILIAWAN</t>
  </si>
  <si>
    <t>AMANDA SINTA RAHMAN</t>
  </si>
  <si>
    <t>AZZAHRA ASHILA ROHMAH</t>
  </si>
  <si>
    <t>BERYL CALLYSTA AL VINA</t>
  </si>
  <si>
    <t>FUJI HIKMAH</t>
  </si>
  <si>
    <t>NAJWA PUTRI AZ ZAHWA</t>
  </si>
  <si>
    <t>NASYWA AULIUL KAMILAH</t>
  </si>
  <si>
    <t>NENDEN SEKAR ARUM</t>
  </si>
  <si>
    <t>PUTRI HAFSOH RABANI</t>
  </si>
  <si>
    <t>RAHMA NUR ALIPAH</t>
  </si>
  <si>
    <t>REFNA NAFISA</t>
  </si>
  <si>
    <t>RENI KEILA</t>
  </si>
  <si>
    <t>SALWA NAYLATUL PUTRI</t>
  </si>
  <si>
    <t>SEPTI MUJIANTI</t>
  </si>
  <si>
    <t>SIFA NURKHALIFAH</t>
  </si>
  <si>
    <t>SITI NAJWA ALZAJIRA</t>
  </si>
  <si>
    <t>SYARIFA LUTFIANA</t>
  </si>
  <si>
    <t>TIYA APRIANI</t>
  </si>
  <si>
    <t>9B</t>
  </si>
  <si>
    <t>ANDIKA PRATAMA</t>
  </si>
  <si>
    <t>ARIIQ SAFWAAN AL BARRA</t>
  </si>
  <si>
    <t>AZFIA MAULUDIN ILHAM</t>
  </si>
  <si>
    <t>FAIRUZ PRASETIA</t>
  </si>
  <si>
    <t>FARIZ ABQORI MAULANA</t>
  </si>
  <si>
    <t>FITRA RAMADHAN</t>
  </si>
  <si>
    <t>M RAFQA ADITIA</t>
  </si>
  <si>
    <t>M. AZKA PRATAMA</t>
  </si>
  <si>
    <t>MUHAMAD AINUL YAQIN</t>
  </si>
  <si>
    <t>MUHAMAD ALFIN</t>
  </si>
  <si>
    <t>MUHAMAD RAFA</t>
  </si>
  <si>
    <t>MUHAMAD SAEPUL AMRI</t>
  </si>
  <si>
    <t>MUHAMAD SANDI ALFATIH</t>
  </si>
  <si>
    <t>MUHAMMAD AKMALLUDIN MAULANA</t>
  </si>
  <si>
    <t>MUHAMMAD AQIEL ARDHABILLY</t>
  </si>
  <si>
    <t>MUHAMMAD NURDIN</t>
  </si>
  <si>
    <t>MUHAMMAD RAFFA JULYANA RAMADHAN</t>
  </si>
  <si>
    <t>MUHAMMAD REVAN AL-ASQOLANI</t>
  </si>
  <si>
    <t>MUHAMMAD SYAHRUL ADI PUTRA</t>
  </si>
  <si>
    <t>NAZRUL ILHAM</t>
  </si>
  <si>
    <t>RIDHO PERMANA</t>
  </si>
  <si>
    <t>RIZKY ADITYA PRATAMA</t>
  </si>
  <si>
    <t>SONAJI</t>
  </si>
  <si>
    <t>SYARIP ALAMSYAH</t>
  </si>
  <si>
    <t>WILDAN KHOER BASUKI</t>
  </si>
  <si>
    <t>YUGATA RAMADHAN</t>
  </si>
  <si>
    <t>SMA TERPADU AS SALAAM</t>
  </si>
  <si>
    <t>SMA</t>
  </si>
  <si>
    <t>M. FAZRIL FATURRAHMAN</t>
  </si>
  <si>
    <t>M. RIZKI ZAELANI</t>
  </si>
  <si>
    <t>M. SAYYID AGIL M</t>
  </si>
  <si>
    <t>ZAKII AHMAD ALFARIDZI</t>
  </si>
  <si>
    <t>ARNESTA HADIWINATA</t>
  </si>
  <si>
    <t>AWULIA SOLIHATUN ZAHWA</t>
  </si>
  <si>
    <t>BILQIS HIKMATUZZULFA</t>
  </si>
  <si>
    <t>EVIANA</t>
  </si>
  <si>
    <t>FAHIRA</t>
  </si>
  <si>
    <t>HAYATUSSIFA</t>
  </si>
  <si>
    <t>INTAN CAHYANI PUTRI AZZAHRA</t>
  </si>
  <si>
    <t>KESSYA SYIFAUR ROHMAH</t>
  </si>
  <si>
    <t>MUTIARA</t>
  </si>
  <si>
    <t>NAZWATUNNISA</t>
  </si>
  <si>
    <t>NIHAWANDA NADZIRA</t>
  </si>
  <si>
    <t>NUR AZIZAH SOBIHAH</t>
  </si>
  <si>
    <t>NYIMAS RANI RAHMAWATI</t>
  </si>
  <si>
    <t>PUTRI WIEKE DEPRIANTI</t>
  </si>
  <si>
    <t>QUENNESA SABANIAH HARYANI</t>
  </si>
  <si>
    <t>SANDRA PUTRI</t>
  </si>
  <si>
    <t>SILFIA RANI</t>
  </si>
  <si>
    <t>SITI NURASIAH</t>
  </si>
  <si>
    <t>WINARSIH TRINIFISKA PUTRI</t>
  </si>
  <si>
    <t>2026/2027</t>
  </si>
  <si>
    <t>Ganjil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</si>
</sst>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</font>
    <font>
      <b/>
      <sz val="14"/>
      <color rgb="FFFFFFFF"/>
      <name val="Times New Roman"/>
    </font>
    <font>
      <b/>
      <sz val="11"/>
      <color rgb="FF000000"/>
      <name val="Times New Roman"/>
    </font>
    <font>
      <sz val="10"/>
      <color rgb="FF000000"/>
      <name val="Times New Roman"/>
    </font>
    <font>
      <b/>
      <sz val="11"/>
      <color rgb="FFFFFFFF"/>
      <name val="Times New Roman"/>
    </font>
    <font>
      <b/>
      <sz val="12"/>
      <color rgb="FFFFFFFF"/>
      <name val="Times New Roman"/>
    </font>
    <font>
      <b/>
      <sz val="15"/>
      <color rgb="FFFFFFFF"/>
      <name val="Times New Roman"/>
    </font>
    <font>
      <b/>
      <sz val="13"/>
      <color rgb="FFFFFFFF"/>
      <name val="Times New Roman"/>
    </font>
    <font>
      <sz val="11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F1F8F2"/>
      </patternFill>
    </fill>
  </fills>
  <borders count="11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1" xfId="0" applyFont="1" applyFill="1" applyBorder="1"/>
    <xf numFmtId="164" fontId="3" fillId="4" borderId="1" xfId="0" applyNumberFormat="1" applyFont="1" applyFill="1" applyBorder="1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left" wrapText="1"/>
    </xf>
    <xf numFmtId="0" fontId="9" fillId="0" borderId="0" xfId="0" applyFont="1" applyAlignment="1">
      <alignment vertical="center"/>
    </xf>
    <xf numFmtId="0" fontId="3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2" fontId="9" fillId="6" borderId="1" xfId="0" applyNumberFormat="1" applyFont="1" applyFill="1" applyBorder="1" applyAlignment="1">
      <alignment vertical="center"/>
    </xf>
    <xf numFmtId="164" fontId="9" fillId="6" borderId="1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2" fontId="9" fillId="5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2" fontId="9" fillId="6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/>
    <xf numFmtId="2" fontId="9" fillId="6" borderId="1" xfId="0" applyNumberFormat="1" applyFont="1" applyFill="1" applyBorder="1" applyAlignment="1">
      <alignment vertical="center"/>
    </xf>
    <xf numFmtId="10" fontId="9" fillId="6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0" fillId="0" borderId="1" xfId="0" applyBorder="1"/>
    <xf numFmtId="0" fontId="9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vertical="top" wrapText="1"/>
    </xf>
    <xf numFmtId="0" fontId="6" fillId="3" borderId="1" xfId="0" applyFont="1" applyFill="1" applyBorder="1"/>
  </cellXfs>
  <cellStyles count="1">
    <cellStyle name="Normal" xfId="0" builtinId="0"/>
  </cellStyles>
  <dxfs count="12">
    <dxf>
      <fill>
        <patternFill patternType="solid">
          <fgColor rgb="FFFCE4D6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Distribusi Predikat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'7'!$F$43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'7'!$E$44:$E$47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'7'!$F$44:$F$47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A-4093-8193-43E4524B8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Predikat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Jumlah Siswa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Distribusi Predikat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'8A'!$F$27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'8A'!$E$28:$E$31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'8A'!$F$28:$F$31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B-45D6-B081-9EB99D611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Predikat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Jumlah Siswa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Distribusi Predikat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'8B'!$F$41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'8B'!$E$42:$E$45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'8B'!$F$42:$F$45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0-4387-84FF-4D5B188AB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Predikat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Jumlah Siswa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Distribusi Predikat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'9A'!$F$32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'9A'!$E$33:$E$36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'9A'!$F$33:$F$36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CEB-9DBF-811D8354D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Predikat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Jumlah Siswa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Distribusi Predikat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'9B'!$F$38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'9B'!$E$39:$E$42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'9B'!$F$39:$F$42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8-4837-A401-DF5C79237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Predikat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Jumlah Siswa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Distribusi Predikat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SMA!$F$35</c:f>
              <c:strCache>
                <c:ptCount val="1"/>
                <c:pt idx="0">
                  <c:v>Jumlah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SMA!$E$36:$E$39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SMA!$F$36:$F$39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C-4648-A721-8A3FC8B49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Predikat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Jumlah Siswa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50800</xdr:colOff>
      <xdr:row>42</xdr:row>
      <xdr:rowOff>143934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26</xdr:row>
      <xdr:rowOff>135467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50800</xdr:colOff>
      <xdr:row>40</xdr:row>
      <xdr:rowOff>160867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8466</xdr:colOff>
      <xdr:row>31</xdr:row>
      <xdr:rowOff>110067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25401</xdr:colOff>
      <xdr:row>37</xdr:row>
      <xdr:rowOff>84668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982133</xdr:colOff>
      <xdr:row>34</xdr:row>
      <xdr:rowOff>177800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zoomScale="90" workbookViewId="0">
      <pane ySplit="3" topLeftCell="A4" activePane="bottomLeft" state="frozen"/>
      <selection pane="bottomLeft" activeCell="C12" sqref="C12"/>
    </sheetView>
  </sheetViews>
  <sheetFormatPr defaultRowHeight="14.4" x14ac:dyDescent="0.3"/>
  <cols>
    <col min="1" max="2" width="22" customWidth="1"/>
    <col min="3" max="8" width="18" customWidth="1"/>
    <col min="10" max="10" width="13" hidden="1" customWidth="1"/>
  </cols>
  <sheetData>
    <row r="1" spans="1:10" ht="28.05" customHeight="1" x14ac:dyDescent="0.3">
      <c r="A1" s="49" t="s">
        <v>0</v>
      </c>
      <c r="B1" s="31"/>
      <c r="C1" s="31"/>
      <c r="D1" s="31"/>
      <c r="E1" s="31"/>
      <c r="F1" s="31"/>
      <c r="G1" s="31"/>
      <c r="H1" s="31"/>
      <c r="J1" t="s">
        <v>1</v>
      </c>
    </row>
    <row r="2" spans="1:10" ht="25.05" customHeight="1" x14ac:dyDescent="0.3">
      <c r="A2" s="51" t="s">
        <v>2</v>
      </c>
      <c r="B2" s="31"/>
      <c r="C2" s="31"/>
      <c r="D2" s="31"/>
      <c r="E2" s="31"/>
      <c r="F2" s="31"/>
      <c r="G2" s="31"/>
      <c r="H2" s="31"/>
      <c r="J2" t="s">
        <v>3</v>
      </c>
    </row>
    <row r="3" spans="1:10" x14ac:dyDescent="0.3">
      <c r="J3" t="s">
        <v>4</v>
      </c>
    </row>
    <row r="4" spans="1:10" x14ac:dyDescent="0.3">
      <c r="A4" s="1" t="s">
        <v>5</v>
      </c>
      <c r="B4" s="46" t="s">
        <v>6</v>
      </c>
      <c r="C4" s="47"/>
      <c r="D4" s="47"/>
      <c r="E4" s="47"/>
      <c r="F4" s="47"/>
      <c r="G4" s="47"/>
      <c r="H4" s="48"/>
      <c r="J4" t="s">
        <v>7</v>
      </c>
    </row>
    <row r="5" spans="1:10" x14ac:dyDescent="0.3">
      <c r="A5" s="1" t="s">
        <v>8</v>
      </c>
      <c r="B5" s="46" t="s">
        <v>9</v>
      </c>
      <c r="C5" s="47"/>
      <c r="D5" s="47"/>
      <c r="E5" s="47"/>
      <c r="F5" s="47"/>
      <c r="G5" s="47"/>
      <c r="H5" s="48"/>
      <c r="J5" t="s">
        <v>10</v>
      </c>
    </row>
    <row r="6" spans="1:10" x14ac:dyDescent="0.3">
      <c r="A6" s="1" t="s">
        <v>11</v>
      </c>
      <c r="B6" s="46" t="s">
        <v>12</v>
      </c>
      <c r="C6" s="47"/>
      <c r="D6" s="47"/>
      <c r="E6" s="47"/>
      <c r="F6" s="47"/>
      <c r="G6" s="47"/>
      <c r="H6" s="48"/>
      <c r="J6" t="s">
        <v>13</v>
      </c>
    </row>
    <row r="7" spans="1:10" x14ac:dyDescent="0.3">
      <c r="A7" s="1" t="s">
        <v>14</v>
      </c>
      <c r="B7" s="46" t="s">
        <v>15</v>
      </c>
      <c r="C7" s="47"/>
      <c r="D7" s="47"/>
      <c r="E7" s="47"/>
      <c r="F7" s="47"/>
      <c r="G7" s="47"/>
      <c r="H7" s="48"/>
      <c r="J7" t="s">
        <v>16</v>
      </c>
    </row>
    <row r="8" spans="1:10" x14ac:dyDescent="0.3">
      <c r="A8" s="1" t="s">
        <v>17</v>
      </c>
      <c r="B8" s="50" t="s">
        <v>227</v>
      </c>
      <c r="C8" s="47"/>
      <c r="D8" s="47"/>
      <c r="E8" s="47"/>
      <c r="F8" s="47"/>
      <c r="G8" s="47"/>
      <c r="H8" s="48"/>
      <c r="J8" t="s">
        <v>18</v>
      </c>
    </row>
    <row r="9" spans="1:10" x14ac:dyDescent="0.3">
      <c r="A9" s="1" t="s">
        <v>19</v>
      </c>
      <c r="B9" s="50" t="s">
        <v>228</v>
      </c>
      <c r="C9" s="47"/>
      <c r="D9" s="47"/>
      <c r="E9" s="47"/>
      <c r="F9" s="47"/>
      <c r="G9" s="47"/>
      <c r="H9" s="48"/>
      <c r="J9" t="s">
        <v>20</v>
      </c>
    </row>
    <row r="10" spans="1:10" x14ac:dyDescent="0.3">
      <c r="A10" s="1" t="s">
        <v>21</v>
      </c>
      <c r="B10" s="50"/>
      <c r="C10" s="47"/>
      <c r="D10" s="47"/>
      <c r="E10" s="47"/>
      <c r="F10" s="47"/>
      <c r="G10" s="47"/>
      <c r="H10" s="48"/>
      <c r="J10" t="s">
        <v>22</v>
      </c>
    </row>
    <row r="11" spans="1:10" x14ac:dyDescent="0.3">
      <c r="A11" s="1" t="s">
        <v>23</v>
      </c>
      <c r="B11" s="50"/>
      <c r="C11" s="47"/>
      <c r="D11" s="47"/>
      <c r="E11" s="47"/>
      <c r="F11" s="47"/>
      <c r="G11" s="47"/>
      <c r="H11" s="48"/>
      <c r="J11" t="s">
        <v>24</v>
      </c>
    </row>
    <row r="12" spans="1:10" x14ac:dyDescent="0.3">
      <c r="J12" t="s">
        <v>25</v>
      </c>
    </row>
    <row r="13" spans="1:10" x14ac:dyDescent="0.3">
      <c r="J13" t="s">
        <v>26</v>
      </c>
    </row>
    <row r="14" spans="1:10" x14ac:dyDescent="0.3">
      <c r="A14" s="38" t="s">
        <v>27</v>
      </c>
      <c r="B14" s="39"/>
      <c r="C14" s="39"/>
      <c r="D14" s="39"/>
      <c r="E14" s="39"/>
      <c r="F14" s="39"/>
      <c r="G14" s="39"/>
      <c r="H14" s="40"/>
    </row>
    <row r="15" spans="1:10" x14ac:dyDescent="0.3">
      <c r="A15" s="41"/>
      <c r="B15" s="31"/>
      <c r="C15" s="31"/>
      <c r="D15" s="31"/>
      <c r="E15" s="31"/>
      <c r="F15" s="31"/>
      <c r="G15" s="31"/>
      <c r="H15" s="42"/>
    </row>
    <row r="16" spans="1:10" x14ac:dyDescent="0.3">
      <c r="A16" s="41"/>
      <c r="B16" s="31"/>
      <c r="C16" s="31"/>
      <c r="D16" s="31"/>
      <c r="E16" s="31"/>
      <c r="F16" s="31"/>
      <c r="G16" s="31"/>
      <c r="H16" s="42"/>
    </row>
    <row r="17" spans="1:8" x14ac:dyDescent="0.3">
      <c r="A17" s="43"/>
      <c r="B17" s="44"/>
      <c r="C17" s="44"/>
      <c r="D17" s="44"/>
      <c r="E17" s="44"/>
      <c r="F17" s="44"/>
      <c r="G17" s="44"/>
      <c r="H17" s="45"/>
    </row>
  </sheetData>
  <mergeCells count="11">
    <mergeCell ref="A14:H17"/>
    <mergeCell ref="B7:H7"/>
    <mergeCell ref="A1:H1"/>
    <mergeCell ref="B10:H10"/>
    <mergeCell ref="B11:H11"/>
    <mergeCell ref="B5:H5"/>
    <mergeCell ref="B8:H8"/>
    <mergeCell ref="B9:H9"/>
    <mergeCell ref="B4:H4"/>
    <mergeCell ref="A2:H2"/>
    <mergeCell ref="B6:H6"/>
  </mergeCells>
  <dataValidations count="2">
    <dataValidation type="list" allowBlank="1" sqref="B10" xr:uid="{00000000-0002-0000-0000-000000000000}">
      <formula1>$J$2:$J$13</formula1>
    </dataValidation>
    <dataValidation type="list" allowBlank="1" sqref="B9" xr:uid="{00000000-0002-0000-0000-000001000000}">
      <formula1>"Ganjil,Genap"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tabSelected="1" workbookViewId="0">
      <pane ySplit="13" topLeftCell="A14" activePane="bottomLeft" state="frozen"/>
      <selection pane="bottomLeft" activeCell="J6" sqref="J6"/>
    </sheetView>
  </sheetViews>
  <sheetFormatPr defaultRowHeight="14.4" x14ac:dyDescent="0.3"/>
  <cols>
    <col min="1" max="1" width="15.77734375" bestFit="1" customWidth="1"/>
    <col min="2" max="2" width="28" customWidth="1"/>
    <col min="3" max="3" width="14" customWidth="1"/>
    <col min="4" max="4" width="12" customWidth="1"/>
    <col min="5" max="5" width="38" customWidth="1"/>
    <col min="6" max="6" width="3" customWidth="1"/>
    <col min="7" max="7" width="18" customWidth="1"/>
    <col min="8" max="8" width="28" customWidth="1"/>
  </cols>
  <sheetData>
    <row r="1" spans="1:8" ht="20.399999999999999" x14ac:dyDescent="0.3">
      <c r="A1" s="49" t="s">
        <v>28</v>
      </c>
      <c r="B1" s="31"/>
      <c r="C1" s="31"/>
      <c r="D1" s="31"/>
      <c r="E1" s="31"/>
      <c r="F1" s="31"/>
      <c r="G1" s="31"/>
      <c r="H1" s="31"/>
    </row>
    <row r="2" spans="1:8" x14ac:dyDescent="0.3">
      <c r="A2" s="52" t="s">
        <v>29</v>
      </c>
      <c r="B2" s="31"/>
      <c r="C2" s="31"/>
      <c r="D2" s="31"/>
      <c r="E2" s="31"/>
      <c r="F2" s="31"/>
      <c r="G2" s="31"/>
      <c r="H2" s="31"/>
    </row>
    <row r="4" spans="1:8" ht="15.6" x14ac:dyDescent="0.3">
      <c r="A4" s="55" t="s">
        <v>30</v>
      </c>
      <c r="B4" s="36"/>
      <c r="C4" s="36"/>
      <c r="D4" s="36"/>
      <c r="E4" s="36"/>
      <c r="F4" s="36"/>
      <c r="G4" s="36"/>
      <c r="H4" s="36"/>
    </row>
    <row r="5" spans="1:8" x14ac:dyDescent="0.3">
      <c r="A5" s="1" t="s">
        <v>31</v>
      </c>
      <c r="B5" s="53">
        <v>75</v>
      </c>
      <c r="C5" s="31"/>
    </row>
    <row r="6" spans="1:8" x14ac:dyDescent="0.3">
      <c r="A6" s="1" t="s">
        <v>32</v>
      </c>
      <c r="B6" s="53">
        <v>100</v>
      </c>
      <c r="C6" s="31"/>
    </row>
    <row r="7" spans="1:8" x14ac:dyDescent="0.3">
      <c r="A7" s="1" t="s">
        <v>33</v>
      </c>
      <c r="B7" s="53">
        <v>0</v>
      </c>
      <c r="C7" s="31"/>
    </row>
    <row r="8" spans="1:8" x14ac:dyDescent="0.3">
      <c r="A8" s="1" t="s">
        <v>34</v>
      </c>
      <c r="B8" s="53">
        <v>90</v>
      </c>
      <c r="C8" s="31"/>
    </row>
    <row r="9" spans="1:8" x14ac:dyDescent="0.3">
      <c r="A9" s="1" t="s">
        <v>35</v>
      </c>
      <c r="B9" s="53">
        <v>80</v>
      </c>
      <c r="C9" s="31"/>
    </row>
    <row r="10" spans="1:8" x14ac:dyDescent="0.3">
      <c r="A10" s="1" t="s">
        <v>36</v>
      </c>
      <c r="B10" s="53">
        <v>75</v>
      </c>
      <c r="C10" s="31"/>
    </row>
    <row r="11" spans="1:8" x14ac:dyDescent="0.3">
      <c r="A11" s="1" t="s">
        <v>37</v>
      </c>
      <c r="B11" s="53">
        <v>0</v>
      </c>
      <c r="C11" s="31"/>
    </row>
    <row r="13" spans="1:8" ht="15.6" x14ac:dyDescent="0.3">
      <c r="A13" s="55" t="s">
        <v>38</v>
      </c>
      <c r="B13" s="36"/>
      <c r="C13" s="36"/>
      <c r="D13" s="36"/>
      <c r="E13" s="36"/>
      <c r="F13" s="36"/>
      <c r="G13" s="36"/>
      <c r="H13" s="36"/>
    </row>
    <row r="14" spans="1:8" x14ac:dyDescent="0.3">
      <c r="A14" s="4" t="s">
        <v>39</v>
      </c>
      <c r="B14" s="4" t="s">
        <v>40</v>
      </c>
      <c r="C14" s="4" t="s">
        <v>41</v>
      </c>
      <c r="D14" s="4" t="s">
        <v>42</v>
      </c>
      <c r="E14" s="4" t="s">
        <v>43</v>
      </c>
      <c r="G14" s="5" t="s">
        <v>44</v>
      </c>
      <c r="H14" s="2">
        <f>SUM(C15:C16)</f>
        <v>100</v>
      </c>
    </row>
    <row r="15" spans="1:8" x14ac:dyDescent="0.3">
      <c r="A15" s="6">
        <v>1</v>
      </c>
      <c r="B15" s="7" t="s">
        <v>45</v>
      </c>
      <c r="C15" s="8">
        <v>50</v>
      </c>
      <c r="D15" s="8" t="s">
        <v>46</v>
      </c>
      <c r="E15" s="9" t="s">
        <v>47</v>
      </c>
      <c r="G15" s="5" t="s">
        <v>48</v>
      </c>
      <c r="H15" s="3" t="str">
        <f>IF(H14=100,"VALID","CEK BOBOT")</f>
        <v>VALID</v>
      </c>
    </row>
    <row r="16" spans="1:8" x14ac:dyDescent="0.3">
      <c r="A16" s="6">
        <v>2</v>
      </c>
      <c r="B16" s="7" t="s">
        <v>49</v>
      </c>
      <c r="C16" s="8">
        <v>50</v>
      </c>
      <c r="D16" s="8" t="s">
        <v>46</v>
      </c>
      <c r="E16" s="9" t="s">
        <v>50</v>
      </c>
    </row>
    <row r="19" spans="1:8" x14ac:dyDescent="0.3">
      <c r="A19" s="54" t="s">
        <v>51</v>
      </c>
      <c r="B19" s="31"/>
      <c r="C19" s="31"/>
      <c r="D19" s="31"/>
      <c r="E19" s="31"/>
      <c r="F19" s="31"/>
      <c r="G19" s="31"/>
      <c r="H19" s="31"/>
    </row>
    <row r="20" spans="1:8" x14ac:dyDescent="0.3">
      <c r="A20" s="31"/>
      <c r="B20" s="31"/>
      <c r="C20" s="31"/>
      <c r="D20" s="31"/>
      <c r="E20" s="31"/>
      <c r="F20" s="31"/>
      <c r="G20" s="31"/>
      <c r="H20" s="31"/>
    </row>
    <row r="21" spans="1:8" x14ac:dyDescent="0.3">
      <c r="A21" s="31"/>
      <c r="B21" s="31"/>
      <c r="C21" s="31"/>
      <c r="D21" s="31"/>
      <c r="E21" s="31"/>
      <c r="F21" s="31"/>
      <c r="G21" s="31"/>
      <c r="H21" s="31"/>
    </row>
    <row r="22" spans="1:8" x14ac:dyDescent="0.3">
      <c r="A22" s="31"/>
      <c r="B22" s="31"/>
      <c r="C22" s="31"/>
      <c r="D22" s="31"/>
      <c r="E22" s="31"/>
      <c r="F22" s="31"/>
      <c r="G22" s="31"/>
      <c r="H22" s="31"/>
    </row>
    <row r="23" spans="1:8" x14ac:dyDescent="0.3">
      <c r="A23" s="31"/>
      <c r="B23" s="31"/>
      <c r="C23" s="31"/>
      <c r="D23" s="31"/>
      <c r="E23" s="31"/>
      <c r="F23" s="31"/>
      <c r="G23" s="31"/>
      <c r="H23" s="31"/>
    </row>
  </sheetData>
  <mergeCells count="12">
    <mergeCell ref="A2:H2"/>
    <mergeCell ref="B10:C10"/>
    <mergeCell ref="A19:H23"/>
    <mergeCell ref="A13:H13"/>
    <mergeCell ref="A1:H1"/>
    <mergeCell ref="B9:C9"/>
    <mergeCell ref="B8:C8"/>
    <mergeCell ref="A4:H4"/>
    <mergeCell ref="B6:C6"/>
    <mergeCell ref="B7:C7"/>
    <mergeCell ref="B11:C11"/>
    <mergeCell ref="B5:C5"/>
  </mergeCells>
  <dataValidations count="2">
    <dataValidation type="list" sqref="D15:D16" xr:uid="{00000000-0002-0000-0100-000000000000}">
      <formula1>"Ya,Tidak"</formula1>
    </dataValidation>
    <dataValidation type="decimal" sqref="C15:C16" xr:uid="{00000000-0002-0000-0100-000001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0"/>
  <sheetViews>
    <sheetView showGridLines="0" zoomScale="90" workbookViewId="0">
      <pane xSplit="3" ySplit="8" topLeftCell="D9" activePane="bottomRight" state="frozen"/>
      <selection pane="topRight"/>
      <selection pane="bottomLeft"/>
      <selection pane="bottomRight" activeCell="E4" sqref="E4:E5"/>
    </sheetView>
  </sheetViews>
  <sheetFormatPr defaultRowHeight="14.4" x14ac:dyDescent="0.3"/>
  <cols>
    <col min="1" max="1" width="21.88671875" bestFit="1" customWidth="1"/>
    <col min="2" max="2" width="34" customWidth="1"/>
    <col min="3" max="3" width="8" customWidth="1"/>
    <col min="4" max="4" width="16" bestFit="1" customWidth="1"/>
    <col min="5" max="6" width="14" customWidth="1"/>
    <col min="7" max="7" width="14.109375" bestFit="1" customWidth="1"/>
    <col min="8" max="8" width="16" customWidth="1"/>
    <col min="9" max="9" width="48" customWidth="1"/>
    <col min="10" max="11" width="15" customWidth="1"/>
    <col min="12" max="14" width="14" customWidth="1"/>
    <col min="15" max="15" width="10" customWidth="1"/>
    <col min="16" max="16" width="16" customWidth="1"/>
    <col min="17" max="17" width="48" customWidth="1"/>
  </cols>
  <sheetData>
    <row r="1" spans="1:17" ht="18.600000000000001" x14ac:dyDescent="0.3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10"/>
      <c r="K1" s="10"/>
      <c r="L1" s="10"/>
      <c r="M1" s="10"/>
      <c r="N1" s="10"/>
      <c r="O1" s="10"/>
      <c r="P1" s="10"/>
      <c r="Q1" s="10"/>
    </row>
    <row r="2" spans="1:17" ht="16.8" x14ac:dyDescent="0.3">
      <c r="A2" s="34" t="s">
        <v>2</v>
      </c>
      <c r="B2" s="31"/>
      <c r="C2" s="31"/>
      <c r="D2" s="31"/>
      <c r="E2" s="31"/>
      <c r="F2" s="31"/>
      <c r="G2" s="31"/>
      <c r="H2" s="31"/>
      <c r="I2" s="31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1" t="s">
        <v>53</v>
      </c>
      <c r="B4" s="12" t="s">
        <v>54</v>
      </c>
      <c r="C4" s="10"/>
      <c r="D4" s="11" t="s">
        <v>17</v>
      </c>
      <c r="E4" s="23" t="str">
        <f>'IDENTITAS SEKOLAH'!B8</f>
        <v>2026/2027</v>
      </c>
      <c r="F4" s="10"/>
      <c r="G4" s="11" t="s">
        <v>19</v>
      </c>
      <c r="H4" s="23" t="str">
        <f>'IDENTITAS SEKOLAH'!B9</f>
        <v>Ganjil</v>
      </c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1" t="s">
        <v>23</v>
      </c>
      <c r="B5" s="37">
        <f>'IDENTITAS SEKOLAH'!B11</f>
        <v>0</v>
      </c>
      <c r="C5" s="31"/>
      <c r="D5" s="11" t="s">
        <v>31</v>
      </c>
      <c r="E5" s="25">
        <f>'FORMAT PENILAIAN'!B5</f>
        <v>75</v>
      </c>
      <c r="F5" s="10"/>
      <c r="G5" s="11" t="s">
        <v>55</v>
      </c>
      <c r="H5" s="24">
        <f>'FORMAT PENILAIAN'!H14</f>
        <v>100</v>
      </c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4" t="s">
        <v>39</v>
      </c>
      <c r="B8" s="4" t="s">
        <v>56</v>
      </c>
      <c r="C8" s="4" t="s">
        <v>57</v>
      </c>
      <c r="D8" s="4" t="s">
        <v>49</v>
      </c>
      <c r="E8" s="4" t="s">
        <v>45</v>
      </c>
      <c r="F8" s="4" t="s">
        <v>58</v>
      </c>
      <c r="G8" s="4" t="s">
        <v>59</v>
      </c>
      <c r="H8" s="4" t="s">
        <v>60</v>
      </c>
      <c r="I8" s="4" t="s">
        <v>61</v>
      </c>
      <c r="J8" s="10"/>
      <c r="K8" s="10"/>
      <c r="L8" s="10"/>
      <c r="M8" s="10"/>
      <c r="N8" s="10"/>
      <c r="O8" s="10"/>
      <c r="P8" s="10"/>
      <c r="Q8" s="10"/>
    </row>
    <row r="9" spans="1:17" ht="19.95" customHeight="1" x14ac:dyDescent="0.3">
      <c r="A9" s="18">
        <v>1</v>
      </c>
      <c r="B9" s="16" t="s">
        <v>62</v>
      </c>
      <c r="C9" s="21" t="s">
        <v>63</v>
      </c>
      <c r="D9" s="17"/>
      <c r="E9" s="17"/>
      <c r="F9" s="19">
        <f>IF(B9="","",IF('FORMAT PENILAIAN'!$H$14&lt;&gt;100,"",ROUND(D9*'FORMAT PENILAIAN'!$C$15/100+E9*'FORMAT PENILAIAN'!$C$16/100,2)))</f>
        <v>0</v>
      </c>
      <c r="G9" s="20" t="str">
        <f>IF(F9="","",IF(F9&gt;='FORMAT PENILAIAN'!$B$8,"A",IF(F9&gt;='FORMAT PENILAIAN'!$B$9,"B",IF(F9&gt;='FORMAT PENILAIAN'!$B$10,"C","D"))))</f>
        <v>D</v>
      </c>
      <c r="H9" s="20" t="str">
        <f>IF(F9="","",IF(F9&gt;='FORMAT PENILAIAN'!$B$5,"Tuntas","Belum Tuntas"))</f>
        <v>Belum Tuntas</v>
      </c>
      <c r="I9" s="20" t="str">
        <f t="shared" ref="I9:I39" si="0">IF(F9="","",IF(G9="A","Penguasaan kompetensi sangat baik.",IF(G9="B","Penguasaan kompetensi baik.",IF(G9="C","Penguasaan kompetensi cukup dan masih perlu penguatan.","Belum mencapai KKM."))))</f>
        <v>Belum mencapai KKM.</v>
      </c>
      <c r="J9" s="10"/>
      <c r="K9" s="10"/>
      <c r="L9" s="10"/>
      <c r="M9" s="10"/>
      <c r="N9" s="10"/>
      <c r="O9" s="10"/>
      <c r="P9" s="10"/>
      <c r="Q9" s="10"/>
    </row>
    <row r="10" spans="1:17" ht="19.95" customHeight="1" x14ac:dyDescent="0.3">
      <c r="A10" s="18">
        <v>2</v>
      </c>
      <c r="B10" s="16" t="s">
        <v>64</v>
      </c>
      <c r="C10" s="21" t="s">
        <v>63</v>
      </c>
      <c r="D10" s="17"/>
      <c r="E10" s="17"/>
      <c r="F10" s="19">
        <f>IF(B10="","",IF('FORMAT PENILAIAN'!$H$14&lt;&gt;100,"",ROUND(D10*'FORMAT PENILAIAN'!$C$15/100+E10*'FORMAT PENILAIAN'!$C$16/100,2)))</f>
        <v>0</v>
      </c>
      <c r="G10" s="20" t="str">
        <f>IF(F10="","",IF(F10&gt;='FORMAT PENILAIAN'!$B$8,"A",IF(F10&gt;='FORMAT PENILAIAN'!$B$9,"B",IF(F10&gt;='FORMAT PENILAIAN'!$B$10,"C","D"))))</f>
        <v>D</v>
      </c>
      <c r="H10" s="20" t="str">
        <f>IF(F10="","",IF(F10&gt;='FORMAT PENILAIAN'!$B$5,"Tuntas","Belum Tuntas"))</f>
        <v>Belum Tuntas</v>
      </c>
      <c r="I10" s="20" t="str">
        <f t="shared" si="0"/>
        <v>Belum mencapai KKM.</v>
      </c>
      <c r="J10" s="10"/>
      <c r="K10" s="10"/>
      <c r="L10" s="10"/>
      <c r="M10" s="10"/>
      <c r="N10" s="10"/>
      <c r="O10" s="10"/>
      <c r="P10" s="10"/>
      <c r="Q10" s="10"/>
    </row>
    <row r="11" spans="1:17" ht="19.95" customHeight="1" x14ac:dyDescent="0.3">
      <c r="A11" s="18">
        <v>3</v>
      </c>
      <c r="B11" s="16" t="s">
        <v>65</v>
      </c>
      <c r="C11" s="21" t="s">
        <v>63</v>
      </c>
      <c r="D11" s="17"/>
      <c r="E11" s="17"/>
      <c r="F11" s="19">
        <f>IF(B11="","",IF('FORMAT PENILAIAN'!$H$14&lt;&gt;100,"",ROUND(D11*'FORMAT PENILAIAN'!$C$15/100+E11*'FORMAT PENILAIAN'!$C$16/100,2)))</f>
        <v>0</v>
      </c>
      <c r="G11" s="20" t="str">
        <f>IF(F11="","",IF(F11&gt;='FORMAT PENILAIAN'!$B$8,"A",IF(F11&gt;='FORMAT PENILAIAN'!$B$9,"B",IF(F11&gt;='FORMAT PENILAIAN'!$B$10,"C","D"))))</f>
        <v>D</v>
      </c>
      <c r="H11" s="20" t="str">
        <f>IF(F11="","",IF(F11&gt;='FORMAT PENILAIAN'!$B$5,"Tuntas","Belum Tuntas"))</f>
        <v>Belum Tuntas</v>
      </c>
      <c r="I11" s="20" t="str">
        <f t="shared" si="0"/>
        <v>Belum mencapai KKM.</v>
      </c>
      <c r="J11" s="10"/>
      <c r="K11" s="10"/>
      <c r="L11" s="10"/>
      <c r="M11" s="10"/>
      <c r="N11" s="10"/>
      <c r="O11" s="10"/>
      <c r="P11" s="10"/>
      <c r="Q11" s="10"/>
    </row>
    <row r="12" spans="1:17" ht="19.95" customHeight="1" x14ac:dyDescent="0.3">
      <c r="A12" s="18">
        <v>4</v>
      </c>
      <c r="B12" s="16" t="s">
        <v>66</v>
      </c>
      <c r="C12" s="21" t="s">
        <v>63</v>
      </c>
      <c r="D12" s="17"/>
      <c r="E12" s="17"/>
      <c r="F12" s="19">
        <f>IF(B12="","",IF('FORMAT PENILAIAN'!$H$14&lt;&gt;100,"",ROUND(D12*'FORMAT PENILAIAN'!$C$15/100+E12*'FORMAT PENILAIAN'!$C$16/100,2)))</f>
        <v>0</v>
      </c>
      <c r="G12" s="20" t="str">
        <f>IF(F12="","",IF(F12&gt;='FORMAT PENILAIAN'!$B$8,"A",IF(F12&gt;='FORMAT PENILAIAN'!$B$9,"B",IF(F12&gt;='FORMAT PENILAIAN'!$B$10,"C","D"))))</f>
        <v>D</v>
      </c>
      <c r="H12" s="20" t="str">
        <f>IF(F12="","",IF(F12&gt;='FORMAT PENILAIAN'!$B$5,"Tuntas","Belum Tuntas"))</f>
        <v>Belum Tuntas</v>
      </c>
      <c r="I12" s="20" t="str">
        <f t="shared" si="0"/>
        <v>Belum mencapai KKM.</v>
      </c>
      <c r="J12" s="10"/>
      <c r="K12" s="10"/>
      <c r="L12" s="10"/>
      <c r="M12" s="10"/>
      <c r="N12" s="10"/>
      <c r="O12" s="10"/>
      <c r="P12" s="10"/>
      <c r="Q12" s="10"/>
    </row>
    <row r="13" spans="1:17" ht="19.95" customHeight="1" x14ac:dyDescent="0.3">
      <c r="A13" s="18">
        <v>5</v>
      </c>
      <c r="B13" s="16" t="s">
        <v>67</v>
      </c>
      <c r="C13" s="21" t="s">
        <v>63</v>
      </c>
      <c r="D13" s="17"/>
      <c r="E13" s="17"/>
      <c r="F13" s="19">
        <f>IF(B13="","",IF('FORMAT PENILAIAN'!$H$14&lt;&gt;100,"",ROUND(D13*'FORMAT PENILAIAN'!$C$15/100+E13*'FORMAT PENILAIAN'!$C$16/100,2)))</f>
        <v>0</v>
      </c>
      <c r="G13" s="20" t="str">
        <f>IF(F13="","",IF(F13&gt;='FORMAT PENILAIAN'!$B$8,"A",IF(F13&gt;='FORMAT PENILAIAN'!$B$9,"B",IF(F13&gt;='FORMAT PENILAIAN'!$B$10,"C","D"))))</f>
        <v>D</v>
      </c>
      <c r="H13" s="20" t="str">
        <f>IF(F13="","",IF(F13&gt;='FORMAT PENILAIAN'!$B$5,"Tuntas","Belum Tuntas"))</f>
        <v>Belum Tuntas</v>
      </c>
      <c r="I13" s="20" t="str">
        <f t="shared" si="0"/>
        <v>Belum mencapai KKM.</v>
      </c>
      <c r="J13" s="10"/>
      <c r="K13" s="10"/>
      <c r="L13" s="10"/>
      <c r="M13" s="10"/>
      <c r="N13" s="10"/>
      <c r="O13" s="10"/>
      <c r="P13" s="10"/>
      <c r="Q13" s="10"/>
    </row>
    <row r="14" spans="1:17" ht="19.95" customHeight="1" x14ac:dyDescent="0.3">
      <c r="A14" s="18">
        <v>6</v>
      </c>
      <c r="B14" s="16" t="s">
        <v>68</v>
      </c>
      <c r="C14" s="21" t="s">
        <v>63</v>
      </c>
      <c r="D14" s="17"/>
      <c r="E14" s="17"/>
      <c r="F14" s="19">
        <f>IF(B14="","",IF('FORMAT PENILAIAN'!$H$14&lt;&gt;100,"",ROUND(D14*'FORMAT PENILAIAN'!$C$15/100+E14*'FORMAT PENILAIAN'!$C$16/100,2)))</f>
        <v>0</v>
      </c>
      <c r="G14" s="20" t="str">
        <f>IF(F14="","",IF(F14&gt;='FORMAT PENILAIAN'!$B$8,"A",IF(F14&gt;='FORMAT PENILAIAN'!$B$9,"B",IF(F14&gt;='FORMAT PENILAIAN'!$B$10,"C","D"))))</f>
        <v>D</v>
      </c>
      <c r="H14" s="20" t="str">
        <f>IF(F14="","",IF(F14&gt;='FORMAT PENILAIAN'!$B$5,"Tuntas","Belum Tuntas"))</f>
        <v>Belum Tuntas</v>
      </c>
      <c r="I14" s="20" t="str">
        <f t="shared" si="0"/>
        <v>Belum mencapai KKM.</v>
      </c>
      <c r="J14" s="10"/>
      <c r="K14" s="10"/>
      <c r="L14" s="10"/>
      <c r="M14" s="10"/>
      <c r="N14" s="10"/>
      <c r="O14" s="10"/>
      <c r="P14" s="10"/>
      <c r="Q14" s="10"/>
    </row>
    <row r="15" spans="1:17" ht="19.95" customHeight="1" x14ac:dyDescent="0.3">
      <c r="A15" s="18">
        <v>7</v>
      </c>
      <c r="B15" s="16" t="s">
        <v>69</v>
      </c>
      <c r="C15" s="21" t="s">
        <v>63</v>
      </c>
      <c r="D15" s="17"/>
      <c r="E15" s="17"/>
      <c r="F15" s="19">
        <f>IF(B15="","",IF('FORMAT PENILAIAN'!$H$14&lt;&gt;100,"",ROUND(D15*'FORMAT PENILAIAN'!$C$15/100+E15*'FORMAT PENILAIAN'!$C$16/100,2)))</f>
        <v>0</v>
      </c>
      <c r="G15" s="20" t="str">
        <f>IF(F15="","",IF(F15&gt;='FORMAT PENILAIAN'!$B$8,"A",IF(F15&gt;='FORMAT PENILAIAN'!$B$9,"B",IF(F15&gt;='FORMAT PENILAIAN'!$B$10,"C","D"))))</f>
        <v>D</v>
      </c>
      <c r="H15" s="20" t="str">
        <f>IF(F15="","",IF(F15&gt;='FORMAT PENILAIAN'!$B$5,"Tuntas","Belum Tuntas"))</f>
        <v>Belum Tuntas</v>
      </c>
      <c r="I15" s="20" t="str">
        <f t="shared" si="0"/>
        <v>Belum mencapai KKM.</v>
      </c>
      <c r="J15" s="10"/>
      <c r="K15" s="10"/>
      <c r="L15" s="10"/>
      <c r="M15" s="10"/>
      <c r="N15" s="10"/>
      <c r="O15" s="10"/>
      <c r="P15" s="10"/>
      <c r="Q15" s="10"/>
    </row>
    <row r="16" spans="1:17" ht="19.95" customHeight="1" x14ac:dyDescent="0.3">
      <c r="A16" s="18">
        <v>8</v>
      </c>
      <c r="B16" s="16" t="s">
        <v>70</v>
      </c>
      <c r="C16" s="21" t="s">
        <v>63</v>
      </c>
      <c r="D16" s="17"/>
      <c r="E16" s="17"/>
      <c r="F16" s="19">
        <f>IF(B16="","",IF('FORMAT PENILAIAN'!$H$14&lt;&gt;100,"",ROUND(D16*'FORMAT PENILAIAN'!$C$15/100+E16*'FORMAT PENILAIAN'!$C$16/100,2)))</f>
        <v>0</v>
      </c>
      <c r="G16" s="20" t="str">
        <f>IF(F16="","",IF(F16&gt;='FORMAT PENILAIAN'!$B$8,"A",IF(F16&gt;='FORMAT PENILAIAN'!$B$9,"B",IF(F16&gt;='FORMAT PENILAIAN'!$B$10,"C","D"))))</f>
        <v>D</v>
      </c>
      <c r="H16" s="20" t="str">
        <f>IF(F16="","",IF(F16&gt;='FORMAT PENILAIAN'!$B$5,"Tuntas","Belum Tuntas"))</f>
        <v>Belum Tuntas</v>
      </c>
      <c r="I16" s="20" t="str">
        <f t="shared" si="0"/>
        <v>Belum mencapai KKM.</v>
      </c>
      <c r="J16" s="10"/>
      <c r="K16" s="10"/>
      <c r="L16" s="10"/>
      <c r="M16" s="10"/>
      <c r="N16" s="10"/>
      <c r="O16" s="10"/>
      <c r="P16" s="10"/>
      <c r="Q16" s="10"/>
    </row>
    <row r="17" spans="1:17" ht="19.95" customHeight="1" x14ac:dyDescent="0.3">
      <c r="A17" s="18">
        <v>9</v>
      </c>
      <c r="B17" s="16" t="s">
        <v>71</v>
      </c>
      <c r="C17" s="21" t="s">
        <v>63</v>
      </c>
      <c r="D17" s="17"/>
      <c r="E17" s="17"/>
      <c r="F17" s="19">
        <f>IF(B17="","",IF('FORMAT PENILAIAN'!$H$14&lt;&gt;100,"",ROUND(D17*'FORMAT PENILAIAN'!$C$15/100+E17*'FORMAT PENILAIAN'!$C$16/100,2)))</f>
        <v>0</v>
      </c>
      <c r="G17" s="20" t="str">
        <f>IF(F17="","",IF(F17&gt;='FORMAT PENILAIAN'!$B$8,"A",IF(F17&gt;='FORMAT PENILAIAN'!$B$9,"B",IF(F17&gt;='FORMAT PENILAIAN'!$B$10,"C","D"))))</f>
        <v>D</v>
      </c>
      <c r="H17" s="20" t="str">
        <f>IF(F17="","",IF(F17&gt;='FORMAT PENILAIAN'!$B$5,"Tuntas","Belum Tuntas"))</f>
        <v>Belum Tuntas</v>
      </c>
      <c r="I17" s="20" t="str">
        <f t="shared" si="0"/>
        <v>Belum mencapai KKM.</v>
      </c>
      <c r="J17" s="10"/>
      <c r="K17" s="10"/>
      <c r="L17" s="10"/>
      <c r="M17" s="10"/>
      <c r="N17" s="10"/>
      <c r="O17" s="10"/>
      <c r="P17" s="10"/>
      <c r="Q17" s="10"/>
    </row>
    <row r="18" spans="1:17" ht="19.95" customHeight="1" x14ac:dyDescent="0.3">
      <c r="A18" s="18">
        <v>10</v>
      </c>
      <c r="B18" s="16" t="s">
        <v>72</v>
      </c>
      <c r="C18" s="21" t="s">
        <v>63</v>
      </c>
      <c r="D18" s="17"/>
      <c r="E18" s="17"/>
      <c r="F18" s="19">
        <f>IF(B18="","",IF('FORMAT PENILAIAN'!$H$14&lt;&gt;100,"",ROUND(D18*'FORMAT PENILAIAN'!$C$15/100+E18*'FORMAT PENILAIAN'!$C$16/100,2)))</f>
        <v>0</v>
      </c>
      <c r="G18" s="20" t="str">
        <f>IF(F18="","",IF(F18&gt;='FORMAT PENILAIAN'!$B$8,"A",IF(F18&gt;='FORMAT PENILAIAN'!$B$9,"B",IF(F18&gt;='FORMAT PENILAIAN'!$B$10,"C","D"))))</f>
        <v>D</v>
      </c>
      <c r="H18" s="20" t="str">
        <f>IF(F18="","",IF(F18&gt;='FORMAT PENILAIAN'!$B$5,"Tuntas","Belum Tuntas"))</f>
        <v>Belum Tuntas</v>
      </c>
      <c r="I18" s="20" t="str">
        <f t="shared" si="0"/>
        <v>Belum mencapai KKM.</v>
      </c>
      <c r="J18" s="10"/>
      <c r="K18" s="10"/>
      <c r="L18" s="10"/>
      <c r="M18" s="10"/>
      <c r="N18" s="10"/>
      <c r="O18" s="10"/>
      <c r="P18" s="10"/>
      <c r="Q18" s="10"/>
    </row>
    <row r="19" spans="1:17" ht="19.95" customHeight="1" x14ac:dyDescent="0.3">
      <c r="A19" s="18">
        <v>11</v>
      </c>
      <c r="B19" s="16" t="s">
        <v>73</v>
      </c>
      <c r="C19" s="21" t="s">
        <v>63</v>
      </c>
      <c r="D19" s="17"/>
      <c r="E19" s="17"/>
      <c r="F19" s="19">
        <f>IF(B19="","",IF('FORMAT PENILAIAN'!$H$14&lt;&gt;100,"",ROUND(D19*'FORMAT PENILAIAN'!$C$15/100+E19*'FORMAT PENILAIAN'!$C$16/100,2)))</f>
        <v>0</v>
      </c>
      <c r="G19" s="20" t="str">
        <f>IF(F19="","",IF(F19&gt;='FORMAT PENILAIAN'!$B$8,"A",IF(F19&gt;='FORMAT PENILAIAN'!$B$9,"B",IF(F19&gt;='FORMAT PENILAIAN'!$B$10,"C","D"))))</f>
        <v>D</v>
      </c>
      <c r="H19" s="20" t="str">
        <f>IF(F19="","",IF(F19&gt;='FORMAT PENILAIAN'!$B$5,"Tuntas","Belum Tuntas"))</f>
        <v>Belum Tuntas</v>
      </c>
      <c r="I19" s="20" t="str">
        <f t="shared" si="0"/>
        <v>Belum mencapai KKM.</v>
      </c>
      <c r="J19" s="10"/>
      <c r="K19" s="10"/>
      <c r="L19" s="10"/>
      <c r="M19" s="10"/>
      <c r="N19" s="10"/>
      <c r="O19" s="10"/>
      <c r="P19" s="10"/>
      <c r="Q19" s="10"/>
    </row>
    <row r="20" spans="1:17" ht="19.95" customHeight="1" x14ac:dyDescent="0.3">
      <c r="A20" s="18">
        <v>12</v>
      </c>
      <c r="B20" s="16" t="s">
        <v>74</v>
      </c>
      <c r="C20" s="21" t="s">
        <v>63</v>
      </c>
      <c r="D20" s="17"/>
      <c r="E20" s="17"/>
      <c r="F20" s="19">
        <f>IF(B20="","",IF('FORMAT PENILAIAN'!$H$14&lt;&gt;100,"",ROUND(D20*'FORMAT PENILAIAN'!$C$15/100+E20*'FORMAT PENILAIAN'!$C$16/100,2)))</f>
        <v>0</v>
      </c>
      <c r="G20" s="20" t="str">
        <f>IF(F20="","",IF(F20&gt;='FORMAT PENILAIAN'!$B$8,"A",IF(F20&gt;='FORMAT PENILAIAN'!$B$9,"B",IF(F20&gt;='FORMAT PENILAIAN'!$B$10,"C","D"))))</f>
        <v>D</v>
      </c>
      <c r="H20" s="20" t="str">
        <f>IF(F20="","",IF(F20&gt;='FORMAT PENILAIAN'!$B$5,"Tuntas","Belum Tuntas"))</f>
        <v>Belum Tuntas</v>
      </c>
      <c r="I20" s="20" t="str">
        <f t="shared" si="0"/>
        <v>Belum mencapai KKM.</v>
      </c>
      <c r="J20" s="10"/>
      <c r="K20" s="10"/>
      <c r="L20" s="10"/>
      <c r="M20" s="10"/>
      <c r="N20" s="10"/>
      <c r="O20" s="10"/>
      <c r="P20" s="10"/>
      <c r="Q20" s="10"/>
    </row>
    <row r="21" spans="1:17" ht="19.95" customHeight="1" x14ac:dyDescent="0.3">
      <c r="A21" s="18">
        <v>13</v>
      </c>
      <c r="B21" s="16" t="s">
        <v>75</v>
      </c>
      <c r="C21" s="21" t="s">
        <v>63</v>
      </c>
      <c r="D21" s="17"/>
      <c r="E21" s="17"/>
      <c r="F21" s="19">
        <f>IF(B21="","",IF('FORMAT PENILAIAN'!$H$14&lt;&gt;100,"",ROUND(D21*'FORMAT PENILAIAN'!$C$15/100+E21*'FORMAT PENILAIAN'!$C$16/100,2)))</f>
        <v>0</v>
      </c>
      <c r="G21" s="20" t="str">
        <f>IF(F21="","",IF(F21&gt;='FORMAT PENILAIAN'!$B$8,"A",IF(F21&gt;='FORMAT PENILAIAN'!$B$9,"B",IF(F21&gt;='FORMAT PENILAIAN'!$B$10,"C","D"))))</f>
        <v>D</v>
      </c>
      <c r="H21" s="20" t="str">
        <f>IF(F21="","",IF(F21&gt;='FORMAT PENILAIAN'!$B$5,"Tuntas","Belum Tuntas"))</f>
        <v>Belum Tuntas</v>
      </c>
      <c r="I21" s="20" t="str">
        <f t="shared" si="0"/>
        <v>Belum mencapai KKM.</v>
      </c>
      <c r="J21" s="10"/>
      <c r="K21" s="10"/>
      <c r="L21" s="10"/>
      <c r="M21" s="10"/>
      <c r="N21" s="10"/>
      <c r="O21" s="10"/>
      <c r="P21" s="10"/>
      <c r="Q21" s="10"/>
    </row>
    <row r="22" spans="1:17" ht="19.95" customHeight="1" x14ac:dyDescent="0.3">
      <c r="A22" s="18">
        <v>14</v>
      </c>
      <c r="B22" s="16" t="s">
        <v>76</v>
      </c>
      <c r="C22" s="21" t="s">
        <v>77</v>
      </c>
      <c r="D22" s="17"/>
      <c r="E22" s="17"/>
      <c r="F22" s="19">
        <f>IF(B22="","",IF('FORMAT PENILAIAN'!$H$14&lt;&gt;100,"",ROUND(D22*'FORMAT PENILAIAN'!$C$15/100+E22*'FORMAT PENILAIAN'!$C$16/100,2)))</f>
        <v>0</v>
      </c>
      <c r="G22" s="20" t="str">
        <f>IF(F22="","",IF(F22&gt;='FORMAT PENILAIAN'!$B$8,"A",IF(F22&gt;='FORMAT PENILAIAN'!$B$9,"B",IF(F22&gt;='FORMAT PENILAIAN'!$B$10,"C","D"))))</f>
        <v>D</v>
      </c>
      <c r="H22" s="20" t="str">
        <f>IF(F22="","",IF(F22&gt;='FORMAT PENILAIAN'!$B$5,"Tuntas","Belum Tuntas"))</f>
        <v>Belum Tuntas</v>
      </c>
      <c r="I22" s="20" t="str">
        <f t="shared" si="0"/>
        <v>Belum mencapai KKM.</v>
      </c>
      <c r="J22" s="10"/>
      <c r="K22" s="10"/>
      <c r="L22" s="10"/>
      <c r="M22" s="10"/>
      <c r="N22" s="10"/>
      <c r="O22" s="10"/>
      <c r="P22" s="10"/>
      <c r="Q22" s="10"/>
    </row>
    <row r="23" spans="1:17" ht="19.95" customHeight="1" x14ac:dyDescent="0.3">
      <c r="A23" s="18">
        <v>15</v>
      </c>
      <c r="B23" s="16" t="s">
        <v>78</v>
      </c>
      <c r="C23" s="21" t="s">
        <v>77</v>
      </c>
      <c r="D23" s="17"/>
      <c r="E23" s="17"/>
      <c r="F23" s="19">
        <f>IF(B23="","",IF('FORMAT PENILAIAN'!$H$14&lt;&gt;100,"",ROUND(D23*'FORMAT PENILAIAN'!$C$15/100+E23*'FORMAT PENILAIAN'!$C$16/100,2)))</f>
        <v>0</v>
      </c>
      <c r="G23" s="20" t="str">
        <f>IF(F23="","",IF(F23&gt;='FORMAT PENILAIAN'!$B$8,"A",IF(F23&gt;='FORMAT PENILAIAN'!$B$9,"B",IF(F23&gt;='FORMAT PENILAIAN'!$B$10,"C","D"))))</f>
        <v>D</v>
      </c>
      <c r="H23" s="20" t="str">
        <f>IF(F23="","",IF(F23&gt;='FORMAT PENILAIAN'!$B$5,"Tuntas","Belum Tuntas"))</f>
        <v>Belum Tuntas</v>
      </c>
      <c r="I23" s="20" t="str">
        <f t="shared" si="0"/>
        <v>Belum mencapai KKM.</v>
      </c>
      <c r="J23" s="10"/>
      <c r="K23" s="10"/>
      <c r="L23" s="10"/>
      <c r="M23" s="10"/>
      <c r="N23" s="10"/>
      <c r="O23" s="10"/>
      <c r="P23" s="10"/>
      <c r="Q23" s="10"/>
    </row>
    <row r="24" spans="1:17" ht="19.95" customHeight="1" x14ac:dyDescent="0.3">
      <c r="A24" s="18">
        <v>16</v>
      </c>
      <c r="B24" s="16" t="s">
        <v>79</v>
      </c>
      <c r="C24" s="21" t="s">
        <v>77</v>
      </c>
      <c r="D24" s="17"/>
      <c r="E24" s="17"/>
      <c r="F24" s="19">
        <f>IF(B24="","",IF('FORMAT PENILAIAN'!$H$14&lt;&gt;100,"",ROUND(D24*'FORMAT PENILAIAN'!$C$15/100+E24*'FORMAT PENILAIAN'!$C$16/100,2)))</f>
        <v>0</v>
      </c>
      <c r="G24" s="20" t="str">
        <f>IF(F24="","",IF(F24&gt;='FORMAT PENILAIAN'!$B$8,"A",IF(F24&gt;='FORMAT PENILAIAN'!$B$9,"B",IF(F24&gt;='FORMAT PENILAIAN'!$B$10,"C","D"))))</f>
        <v>D</v>
      </c>
      <c r="H24" s="20" t="str">
        <f>IF(F24="","",IF(F24&gt;='FORMAT PENILAIAN'!$B$5,"Tuntas","Belum Tuntas"))</f>
        <v>Belum Tuntas</v>
      </c>
      <c r="I24" s="20" t="str">
        <f t="shared" si="0"/>
        <v>Belum mencapai KKM.</v>
      </c>
      <c r="J24" s="10"/>
      <c r="K24" s="10"/>
      <c r="L24" s="10"/>
      <c r="M24" s="10"/>
      <c r="N24" s="10"/>
      <c r="O24" s="10"/>
      <c r="P24" s="10"/>
      <c r="Q24" s="10"/>
    </row>
    <row r="25" spans="1:17" ht="19.95" customHeight="1" x14ac:dyDescent="0.3">
      <c r="A25" s="18">
        <v>17</v>
      </c>
      <c r="B25" s="16" t="s">
        <v>80</v>
      </c>
      <c r="C25" s="21" t="s">
        <v>77</v>
      </c>
      <c r="D25" s="17"/>
      <c r="E25" s="17"/>
      <c r="F25" s="19">
        <f>IF(B25="","",IF('FORMAT PENILAIAN'!$H$14&lt;&gt;100,"",ROUND(D25*'FORMAT PENILAIAN'!$C$15/100+E25*'FORMAT PENILAIAN'!$C$16/100,2)))</f>
        <v>0</v>
      </c>
      <c r="G25" s="20" t="str">
        <f>IF(F25="","",IF(F25&gt;='FORMAT PENILAIAN'!$B$8,"A",IF(F25&gt;='FORMAT PENILAIAN'!$B$9,"B",IF(F25&gt;='FORMAT PENILAIAN'!$B$10,"C","D"))))</f>
        <v>D</v>
      </c>
      <c r="H25" s="20" t="str">
        <f>IF(F25="","",IF(F25&gt;='FORMAT PENILAIAN'!$B$5,"Tuntas","Belum Tuntas"))</f>
        <v>Belum Tuntas</v>
      </c>
      <c r="I25" s="20" t="str">
        <f t="shared" si="0"/>
        <v>Belum mencapai KKM.</v>
      </c>
      <c r="J25" s="10"/>
      <c r="K25" s="10"/>
      <c r="L25" s="10"/>
      <c r="M25" s="10"/>
      <c r="N25" s="10"/>
      <c r="O25" s="10"/>
      <c r="P25" s="10"/>
      <c r="Q25" s="10"/>
    </row>
    <row r="26" spans="1:17" ht="19.95" customHeight="1" x14ac:dyDescent="0.3">
      <c r="A26" s="18">
        <v>18</v>
      </c>
      <c r="B26" s="16" t="s">
        <v>81</v>
      </c>
      <c r="C26" s="21" t="s">
        <v>77</v>
      </c>
      <c r="D26" s="17"/>
      <c r="E26" s="17"/>
      <c r="F26" s="19">
        <f>IF(B26="","",IF('FORMAT PENILAIAN'!$H$14&lt;&gt;100,"",ROUND(D26*'FORMAT PENILAIAN'!$C$15/100+E26*'FORMAT PENILAIAN'!$C$16/100,2)))</f>
        <v>0</v>
      </c>
      <c r="G26" s="20" t="str">
        <f>IF(F26="","",IF(F26&gt;='FORMAT PENILAIAN'!$B$8,"A",IF(F26&gt;='FORMAT PENILAIAN'!$B$9,"B",IF(F26&gt;='FORMAT PENILAIAN'!$B$10,"C","D"))))</f>
        <v>D</v>
      </c>
      <c r="H26" s="20" t="str">
        <f>IF(F26="","",IF(F26&gt;='FORMAT PENILAIAN'!$B$5,"Tuntas","Belum Tuntas"))</f>
        <v>Belum Tuntas</v>
      </c>
      <c r="I26" s="20" t="str">
        <f t="shared" si="0"/>
        <v>Belum mencapai KKM.</v>
      </c>
      <c r="J26" s="10"/>
      <c r="K26" s="10"/>
      <c r="L26" s="10"/>
      <c r="M26" s="10"/>
      <c r="N26" s="10"/>
      <c r="O26" s="10"/>
      <c r="P26" s="10"/>
      <c r="Q26" s="10"/>
    </row>
    <row r="27" spans="1:17" ht="19.95" customHeight="1" x14ac:dyDescent="0.3">
      <c r="A27" s="18">
        <v>19</v>
      </c>
      <c r="B27" s="16" t="s">
        <v>82</v>
      </c>
      <c r="C27" s="21" t="s">
        <v>77</v>
      </c>
      <c r="D27" s="17"/>
      <c r="E27" s="17"/>
      <c r="F27" s="19">
        <f>IF(B27="","",IF('FORMAT PENILAIAN'!$H$14&lt;&gt;100,"",ROUND(D27*'FORMAT PENILAIAN'!$C$15/100+E27*'FORMAT PENILAIAN'!$C$16/100,2)))</f>
        <v>0</v>
      </c>
      <c r="G27" s="20" t="str">
        <f>IF(F27="","",IF(F27&gt;='FORMAT PENILAIAN'!$B$8,"A",IF(F27&gt;='FORMAT PENILAIAN'!$B$9,"B",IF(F27&gt;='FORMAT PENILAIAN'!$B$10,"C","D"))))</f>
        <v>D</v>
      </c>
      <c r="H27" s="20" t="str">
        <f>IF(F27="","",IF(F27&gt;='FORMAT PENILAIAN'!$B$5,"Tuntas","Belum Tuntas"))</f>
        <v>Belum Tuntas</v>
      </c>
      <c r="I27" s="20" t="str">
        <f t="shared" si="0"/>
        <v>Belum mencapai KKM.</v>
      </c>
      <c r="J27" s="10"/>
      <c r="K27" s="10"/>
      <c r="L27" s="10"/>
      <c r="M27" s="10"/>
      <c r="N27" s="10"/>
      <c r="O27" s="10"/>
      <c r="P27" s="10"/>
      <c r="Q27" s="10"/>
    </row>
    <row r="28" spans="1:17" ht="19.95" customHeight="1" x14ac:dyDescent="0.3">
      <c r="A28" s="18">
        <v>20</v>
      </c>
      <c r="B28" s="16" t="s">
        <v>83</v>
      </c>
      <c r="C28" s="21" t="s">
        <v>77</v>
      </c>
      <c r="D28" s="17"/>
      <c r="E28" s="17"/>
      <c r="F28" s="19">
        <f>IF(B28="","",IF('FORMAT PENILAIAN'!$H$14&lt;&gt;100,"",ROUND(D28*'FORMAT PENILAIAN'!$C$15/100+E28*'FORMAT PENILAIAN'!$C$16/100,2)))</f>
        <v>0</v>
      </c>
      <c r="G28" s="20" t="str">
        <f>IF(F28="","",IF(F28&gt;='FORMAT PENILAIAN'!$B$8,"A",IF(F28&gt;='FORMAT PENILAIAN'!$B$9,"B",IF(F28&gt;='FORMAT PENILAIAN'!$B$10,"C","D"))))</f>
        <v>D</v>
      </c>
      <c r="H28" s="20" t="str">
        <f>IF(F28="","",IF(F28&gt;='FORMAT PENILAIAN'!$B$5,"Tuntas","Belum Tuntas"))</f>
        <v>Belum Tuntas</v>
      </c>
      <c r="I28" s="20" t="str">
        <f t="shared" si="0"/>
        <v>Belum mencapai KKM.</v>
      </c>
      <c r="J28" s="10"/>
      <c r="K28" s="10"/>
      <c r="L28" s="10"/>
      <c r="M28" s="10"/>
      <c r="N28" s="10"/>
      <c r="O28" s="10"/>
      <c r="P28" s="10"/>
      <c r="Q28" s="10"/>
    </row>
    <row r="29" spans="1:17" ht="19.95" customHeight="1" x14ac:dyDescent="0.3">
      <c r="A29" s="18">
        <v>21</v>
      </c>
      <c r="B29" s="16" t="s">
        <v>84</v>
      </c>
      <c r="C29" s="21" t="s">
        <v>77</v>
      </c>
      <c r="D29" s="17"/>
      <c r="E29" s="17"/>
      <c r="F29" s="19">
        <f>IF(B29="","",IF('FORMAT PENILAIAN'!$H$14&lt;&gt;100,"",ROUND(D29*'FORMAT PENILAIAN'!$C$15/100+E29*'FORMAT PENILAIAN'!$C$16/100,2)))</f>
        <v>0</v>
      </c>
      <c r="G29" s="20" t="str">
        <f>IF(F29="","",IF(F29&gt;='FORMAT PENILAIAN'!$B$8,"A",IF(F29&gt;='FORMAT PENILAIAN'!$B$9,"B",IF(F29&gt;='FORMAT PENILAIAN'!$B$10,"C","D"))))</f>
        <v>D</v>
      </c>
      <c r="H29" s="20" t="str">
        <f>IF(F29="","",IF(F29&gt;='FORMAT PENILAIAN'!$B$5,"Tuntas","Belum Tuntas"))</f>
        <v>Belum Tuntas</v>
      </c>
      <c r="I29" s="20" t="str">
        <f t="shared" si="0"/>
        <v>Belum mencapai KKM.</v>
      </c>
      <c r="J29" s="10"/>
      <c r="K29" s="10"/>
      <c r="L29" s="10"/>
      <c r="M29" s="10"/>
      <c r="N29" s="10"/>
      <c r="O29" s="10"/>
      <c r="P29" s="10"/>
      <c r="Q29" s="10"/>
    </row>
    <row r="30" spans="1:17" ht="19.95" customHeight="1" x14ac:dyDescent="0.3">
      <c r="A30" s="18">
        <v>22</v>
      </c>
      <c r="B30" s="16" t="s">
        <v>85</v>
      </c>
      <c r="C30" s="21" t="s">
        <v>77</v>
      </c>
      <c r="D30" s="17"/>
      <c r="E30" s="17"/>
      <c r="F30" s="19">
        <f>IF(B30="","",IF('FORMAT PENILAIAN'!$H$14&lt;&gt;100,"",ROUND(D30*'FORMAT PENILAIAN'!$C$15/100+E30*'FORMAT PENILAIAN'!$C$16/100,2)))</f>
        <v>0</v>
      </c>
      <c r="G30" s="20" t="str">
        <f>IF(F30="","",IF(F30&gt;='FORMAT PENILAIAN'!$B$8,"A",IF(F30&gt;='FORMAT PENILAIAN'!$B$9,"B",IF(F30&gt;='FORMAT PENILAIAN'!$B$10,"C","D"))))</f>
        <v>D</v>
      </c>
      <c r="H30" s="20" t="str">
        <f>IF(F30="","",IF(F30&gt;='FORMAT PENILAIAN'!$B$5,"Tuntas","Belum Tuntas"))</f>
        <v>Belum Tuntas</v>
      </c>
      <c r="I30" s="20" t="str">
        <f t="shared" si="0"/>
        <v>Belum mencapai KKM.</v>
      </c>
      <c r="J30" s="10"/>
      <c r="K30" s="10"/>
      <c r="L30" s="10"/>
      <c r="M30" s="10"/>
      <c r="N30" s="10"/>
      <c r="O30" s="10"/>
      <c r="P30" s="10"/>
      <c r="Q30" s="10"/>
    </row>
    <row r="31" spans="1:17" ht="19.95" customHeight="1" x14ac:dyDescent="0.3">
      <c r="A31" s="18">
        <v>23</v>
      </c>
      <c r="B31" s="16" t="s">
        <v>86</v>
      </c>
      <c r="C31" s="21" t="s">
        <v>77</v>
      </c>
      <c r="D31" s="17"/>
      <c r="E31" s="17"/>
      <c r="F31" s="19">
        <f>IF(B31="","",IF('FORMAT PENILAIAN'!$H$14&lt;&gt;100,"",ROUND(D31*'FORMAT PENILAIAN'!$C$15/100+E31*'FORMAT PENILAIAN'!$C$16/100,2)))</f>
        <v>0</v>
      </c>
      <c r="G31" s="20" t="str">
        <f>IF(F31="","",IF(F31&gt;='FORMAT PENILAIAN'!$B$8,"A",IF(F31&gt;='FORMAT PENILAIAN'!$B$9,"B",IF(F31&gt;='FORMAT PENILAIAN'!$B$10,"C","D"))))</f>
        <v>D</v>
      </c>
      <c r="H31" s="20" t="str">
        <f>IF(F31="","",IF(F31&gt;='FORMAT PENILAIAN'!$B$5,"Tuntas","Belum Tuntas"))</f>
        <v>Belum Tuntas</v>
      </c>
      <c r="I31" s="20" t="str">
        <f t="shared" si="0"/>
        <v>Belum mencapai KKM.</v>
      </c>
      <c r="J31" s="10"/>
      <c r="K31" s="10"/>
      <c r="L31" s="10"/>
      <c r="M31" s="10"/>
      <c r="N31" s="10"/>
      <c r="O31" s="10"/>
      <c r="P31" s="10"/>
      <c r="Q31" s="10"/>
    </row>
    <row r="32" spans="1:17" ht="19.95" customHeight="1" x14ac:dyDescent="0.3">
      <c r="A32" s="18">
        <v>24</v>
      </c>
      <c r="B32" s="16" t="s">
        <v>87</v>
      </c>
      <c r="C32" s="21" t="s">
        <v>77</v>
      </c>
      <c r="D32" s="17"/>
      <c r="E32" s="17"/>
      <c r="F32" s="19">
        <f>IF(B32="","",IF('FORMAT PENILAIAN'!$H$14&lt;&gt;100,"",ROUND(D32*'FORMAT PENILAIAN'!$C$15/100+E32*'FORMAT PENILAIAN'!$C$16/100,2)))</f>
        <v>0</v>
      </c>
      <c r="G32" s="20" t="str">
        <f>IF(F32="","",IF(F32&gt;='FORMAT PENILAIAN'!$B$8,"A",IF(F32&gt;='FORMAT PENILAIAN'!$B$9,"B",IF(F32&gt;='FORMAT PENILAIAN'!$B$10,"C","D"))))</f>
        <v>D</v>
      </c>
      <c r="H32" s="20" t="str">
        <f>IF(F32="","",IF(F32&gt;='FORMAT PENILAIAN'!$B$5,"Tuntas","Belum Tuntas"))</f>
        <v>Belum Tuntas</v>
      </c>
      <c r="I32" s="20" t="str">
        <f t="shared" si="0"/>
        <v>Belum mencapai KKM.</v>
      </c>
      <c r="J32" s="10"/>
      <c r="K32" s="10"/>
      <c r="L32" s="10"/>
      <c r="M32" s="10"/>
      <c r="N32" s="10"/>
      <c r="O32" s="10"/>
      <c r="P32" s="10"/>
      <c r="Q32" s="10"/>
    </row>
    <row r="33" spans="1:17" ht="19.95" customHeight="1" x14ac:dyDescent="0.3">
      <c r="A33" s="18">
        <v>25</v>
      </c>
      <c r="B33" s="16" t="s">
        <v>88</v>
      </c>
      <c r="C33" s="21" t="s">
        <v>77</v>
      </c>
      <c r="D33" s="17"/>
      <c r="E33" s="17"/>
      <c r="F33" s="19">
        <f>IF(B33="","",IF('FORMAT PENILAIAN'!$H$14&lt;&gt;100,"",ROUND(D33*'FORMAT PENILAIAN'!$C$15/100+E33*'FORMAT PENILAIAN'!$C$16/100,2)))</f>
        <v>0</v>
      </c>
      <c r="G33" s="20" t="str">
        <f>IF(F33="","",IF(F33&gt;='FORMAT PENILAIAN'!$B$8,"A",IF(F33&gt;='FORMAT PENILAIAN'!$B$9,"B",IF(F33&gt;='FORMAT PENILAIAN'!$B$10,"C","D"))))</f>
        <v>D</v>
      </c>
      <c r="H33" s="20" t="str">
        <f>IF(F33="","",IF(F33&gt;='FORMAT PENILAIAN'!$B$5,"Tuntas","Belum Tuntas"))</f>
        <v>Belum Tuntas</v>
      </c>
      <c r="I33" s="20" t="str">
        <f t="shared" si="0"/>
        <v>Belum mencapai KKM.</v>
      </c>
      <c r="J33" s="10"/>
      <c r="K33" s="10"/>
      <c r="L33" s="10"/>
      <c r="M33" s="10"/>
      <c r="N33" s="10"/>
      <c r="O33" s="10"/>
      <c r="P33" s="10"/>
      <c r="Q33" s="10"/>
    </row>
    <row r="34" spans="1:17" ht="19.95" customHeight="1" x14ac:dyDescent="0.3">
      <c r="A34" s="18">
        <v>26</v>
      </c>
      <c r="B34" s="16" t="s">
        <v>89</v>
      </c>
      <c r="C34" s="21" t="s">
        <v>77</v>
      </c>
      <c r="D34" s="17"/>
      <c r="E34" s="17"/>
      <c r="F34" s="19">
        <f>IF(B34="","",IF('FORMAT PENILAIAN'!$H$14&lt;&gt;100,"",ROUND(D34*'FORMAT PENILAIAN'!$C$15/100+E34*'FORMAT PENILAIAN'!$C$16/100,2)))</f>
        <v>0</v>
      </c>
      <c r="G34" s="20" t="str">
        <f>IF(F34="","",IF(F34&gt;='FORMAT PENILAIAN'!$B$8,"A",IF(F34&gt;='FORMAT PENILAIAN'!$B$9,"B",IF(F34&gt;='FORMAT PENILAIAN'!$B$10,"C","D"))))</f>
        <v>D</v>
      </c>
      <c r="H34" s="20" t="str">
        <f>IF(F34="","",IF(F34&gt;='FORMAT PENILAIAN'!$B$5,"Tuntas","Belum Tuntas"))</f>
        <v>Belum Tuntas</v>
      </c>
      <c r="I34" s="20" t="str">
        <f t="shared" si="0"/>
        <v>Belum mencapai KKM.</v>
      </c>
      <c r="J34" s="10"/>
      <c r="K34" s="10"/>
      <c r="L34" s="10"/>
      <c r="M34" s="10"/>
      <c r="N34" s="10"/>
      <c r="O34" s="10"/>
      <c r="P34" s="10"/>
      <c r="Q34" s="10"/>
    </row>
    <row r="35" spans="1:17" ht="19.95" customHeight="1" x14ac:dyDescent="0.3">
      <c r="A35" s="18">
        <v>27</v>
      </c>
      <c r="B35" s="16" t="s">
        <v>90</v>
      </c>
      <c r="C35" s="21" t="s">
        <v>77</v>
      </c>
      <c r="D35" s="17"/>
      <c r="E35" s="17"/>
      <c r="F35" s="19">
        <f>IF(B35="","",IF('FORMAT PENILAIAN'!$H$14&lt;&gt;100,"",ROUND(D35*'FORMAT PENILAIAN'!$C$15/100+E35*'FORMAT PENILAIAN'!$C$16/100,2)))</f>
        <v>0</v>
      </c>
      <c r="G35" s="20" t="str">
        <f>IF(F35="","",IF(F35&gt;='FORMAT PENILAIAN'!$B$8,"A",IF(F35&gt;='FORMAT PENILAIAN'!$B$9,"B",IF(F35&gt;='FORMAT PENILAIAN'!$B$10,"C","D"))))</f>
        <v>D</v>
      </c>
      <c r="H35" s="20" t="str">
        <f>IF(F35="","",IF(F35&gt;='FORMAT PENILAIAN'!$B$5,"Tuntas","Belum Tuntas"))</f>
        <v>Belum Tuntas</v>
      </c>
      <c r="I35" s="20" t="str">
        <f t="shared" si="0"/>
        <v>Belum mencapai KKM.</v>
      </c>
      <c r="J35" s="10"/>
      <c r="K35" s="10"/>
      <c r="L35" s="10"/>
      <c r="M35" s="10"/>
      <c r="N35" s="10"/>
      <c r="O35" s="10"/>
      <c r="P35" s="10"/>
      <c r="Q35" s="10"/>
    </row>
    <row r="36" spans="1:17" ht="19.95" customHeight="1" x14ac:dyDescent="0.3">
      <c r="A36" s="18">
        <v>28</v>
      </c>
      <c r="B36" s="16" t="s">
        <v>91</v>
      </c>
      <c r="C36" s="21" t="s">
        <v>77</v>
      </c>
      <c r="D36" s="17"/>
      <c r="E36" s="17"/>
      <c r="F36" s="19">
        <f>IF(B36="","",IF('FORMAT PENILAIAN'!$H$14&lt;&gt;100,"",ROUND(D36*'FORMAT PENILAIAN'!$C$15/100+E36*'FORMAT PENILAIAN'!$C$16/100,2)))</f>
        <v>0</v>
      </c>
      <c r="G36" s="20" t="str">
        <f>IF(F36="","",IF(F36&gt;='FORMAT PENILAIAN'!$B$8,"A",IF(F36&gt;='FORMAT PENILAIAN'!$B$9,"B",IF(F36&gt;='FORMAT PENILAIAN'!$B$10,"C","D"))))</f>
        <v>D</v>
      </c>
      <c r="H36" s="20" t="str">
        <f>IF(F36="","",IF(F36&gt;='FORMAT PENILAIAN'!$B$5,"Tuntas","Belum Tuntas"))</f>
        <v>Belum Tuntas</v>
      </c>
      <c r="I36" s="20" t="str">
        <f t="shared" si="0"/>
        <v>Belum mencapai KKM.</v>
      </c>
      <c r="J36" s="10"/>
      <c r="K36" s="10"/>
      <c r="L36" s="10"/>
      <c r="M36" s="10"/>
      <c r="N36" s="10"/>
      <c r="O36" s="10"/>
      <c r="P36" s="10"/>
      <c r="Q36" s="10"/>
    </row>
    <row r="37" spans="1:17" ht="19.95" customHeight="1" x14ac:dyDescent="0.3">
      <c r="A37" s="18">
        <v>29</v>
      </c>
      <c r="B37" s="16" t="s">
        <v>92</v>
      </c>
      <c r="C37" s="21" t="s">
        <v>77</v>
      </c>
      <c r="D37" s="17"/>
      <c r="E37" s="17"/>
      <c r="F37" s="19">
        <f>IF(B37="","",IF('FORMAT PENILAIAN'!$H$14&lt;&gt;100,"",ROUND(D37*'FORMAT PENILAIAN'!$C$15/100+E37*'FORMAT PENILAIAN'!$C$16/100,2)))</f>
        <v>0</v>
      </c>
      <c r="G37" s="20" t="str">
        <f>IF(F37="","",IF(F37&gt;='FORMAT PENILAIAN'!$B$8,"A",IF(F37&gt;='FORMAT PENILAIAN'!$B$9,"B",IF(F37&gt;='FORMAT PENILAIAN'!$B$10,"C","D"))))</f>
        <v>D</v>
      </c>
      <c r="H37" s="20" t="str">
        <f>IF(F37="","",IF(F37&gt;='FORMAT PENILAIAN'!$B$5,"Tuntas","Belum Tuntas"))</f>
        <v>Belum Tuntas</v>
      </c>
      <c r="I37" s="20" t="str">
        <f t="shared" si="0"/>
        <v>Belum mencapai KKM.</v>
      </c>
      <c r="J37" s="10"/>
      <c r="K37" s="10"/>
      <c r="L37" s="10"/>
      <c r="M37" s="10"/>
      <c r="N37" s="10"/>
      <c r="O37" s="10"/>
      <c r="P37" s="10"/>
      <c r="Q37" s="10"/>
    </row>
    <row r="38" spans="1:17" ht="19.95" customHeight="1" x14ac:dyDescent="0.3">
      <c r="A38" s="18">
        <v>30</v>
      </c>
      <c r="B38" s="16" t="s">
        <v>93</v>
      </c>
      <c r="C38" s="21" t="s">
        <v>77</v>
      </c>
      <c r="D38" s="17"/>
      <c r="E38" s="17"/>
      <c r="F38" s="19">
        <f>IF(B38="","",IF('FORMAT PENILAIAN'!$H$14&lt;&gt;100,"",ROUND(D38*'FORMAT PENILAIAN'!$C$15/100+E38*'FORMAT PENILAIAN'!$C$16/100,2)))</f>
        <v>0</v>
      </c>
      <c r="G38" s="20" t="str">
        <f>IF(F38="","",IF(F38&gt;='FORMAT PENILAIAN'!$B$8,"A",IF(F38&gt;='FORMAT PENILAIAN'!$B$9,"B",IF(F38&gt;='FORMAT PENILAIAN'!$B$10,"C","D"))))</f>
        <v>D</v>
      </c>
      <c r="H38" s="20" t="str">
        <f>IF(F38="","",IF(F38&gt;='FORMAT PENILAIAN'!$B$5,"Tuntas","Belum Tuntas"))</f>
        <v>Belum Tuntas</v>
      </c>
      <c r="I38" s="20" t="str">
        <f t="shared" si="0"/>
        <v>Belum mencapai KKM.</v>
      </c>
      <c r="J38" s="10"/>
      <c r="K38" s="10"/>
      <c r="L38" s="10"/>
      <c r="M38" s="10"/>
      <c r="N38" s="10"/>
      <c r="O38" s="10"/>
      <c r="P38" s="10"/>
      <c r="Q38" s="10"/>
    </row>
    <row r="39" spans="1:17" ht="19.95" customHeight="1" x14ac:dyDescent="0.3">
      <c r="A39" s="18">
        <v>31</v>
      </c>
      <c r="B39" s="16" t="s">
        <v>94</v>
      </c>
      <c r="C39" s="21" t="s">
        <v>77</v>
      </c>
      <c r="D39" s="17"/>
      <c r="E39" s="17"/>
      <c r="F39" s="19">
        <f>IF(B39="","",IF('FORMAT PENILAIAN'!$H$14&lt;&gt;100,"",ROUND(D39*'FORMAT PENILAIAN'!$C$15/100+E39*'FORMAT PENILAIAN'!$C$16/100,2)))</f>
        <v>0</v>
      </c>
      <c r="G39" s="20" t="str">
        <f>IF(F39="","",IF(F39&gt;='FORMAT PENILAIAN'!$B$8,"A",IF(F39&gt;='FORMAT PENILAIAN'!$B$9,"B",IF(F39&gt;='FORMAT PENILAIAN'!$B$10,"C","D"))))</f>
        <v>D</v>
      </c>
      <c r="H39" s="20" t="str">
        <f>IF(F39="","",IF(F39&gt;='FORMAT PENILAIAN'!$B$5,"Tuntas","Belum Tuntas"))</f>
        <v>Belum Tuntas</v>
      </c>
      <c r="I39" s="20" t="str">
        <f t="shared" si="0"/>
        <v>Belum mencapai KKM.</v>
      </c>
      <c r="J39" s="10"/>
      <c r="K39" s="10"/>
      <c r="L39" s="10"/>
      <c r="M39" s="10"/>
      <c r="N39" s="10"/>
      <c r="O39" s="10"/>
      <c r="P39" s="10"/>
      <c r="Q39" s="10"/>
    </row>
    <row r="40" spans="1:17" ht="19.9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9.9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19.95" customHeight="1" x14ac:dyDescent="0.3">
      <c r="A42" s="35" t="s">
        <v>95</v>
      </c>
      <c r="B42" s="36"/>
      <c r="C42" s="36"/>
      <c r="D42" s="36"/>
      <c r="E42" s="36"/>
      <c r="F42" s="36"/>
      <c r="G42" s="36"/>
      <c r="H42" s="36"/>
      <c r="I42" s="36"/>
      <c r="J42" s="10"/>
      <c r="K42" s="10"/>
      <c r="L42" s="10"/>
      <c r="M42" s="10"/>
      <c r="N42" s="10"/>
      <c r="O42" s="10"/>
      <c r="P42" s="10"/>
      <c r="Q42" s="10"/>
    </row>
    <row r="43" spans="1:17" ht="19.95" customHeight="1" x14ac:dyDescent="0.3">
      <c r="A43" s="11" t="s">
        <v>96</v>
      </c>
      <c r="B43" s="32">
        <f>COUNTIF(B9:B39,"&lt;&gt;")</f>
        <v>31</v>
      </c>
      <c r="C43" s="31"/>
      <c r="D43" s="10"/>
      <c r="E43" s="29" t="s">
        <v>59</v>
      </c>
      <c r="F43" s="29" t="s">
        <v>97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9.95" customHeight="1" x14ac:dyDescent="0.3">
      <c r="A44" s="11" t="s">
        <v>98</v>
      </c>
      <c r="B44" s="32">
        <f>COUNTIF(H9:H39,"Tuntas")</f>
        <v>0</v>
      </c>
      <c r="C44" s="31"/>
      <c r="D44" s="10"/>
      <c r="E44" s="22" t="s">
        <v>99</v>
      </c>
      <c r="F44" s="22">
        <f>COUNTIF(G9:G39,E44)</f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19.95" customHeight="1" x14ac:dyDescent="0.3">
      <c r="A45" s="11" t="s">
        <v>100</v>
      </c>
      <c r="B45" s="32">
        <f>COUNTIF(H9:H39,"Belum Tuntas")</f>
        <v>31</v>
      </c>
      <c r="C45" s="31"/>
      <c r="D45" s="10"/>
      <c r="E45" s="22" t="s">
        <v>101</v>
      </c>
      <c r="F45" s="22">
        <f>COUNTIF(G9:G39,E45)</f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t="19.95" customHeight="1" x14ac:dyDescent="0.3">
      <c r="A46" s="11" t="s">
        <v>102</v>
      </c>
      <c r="B46" s="33">
        <f>IF(B43=0,0,B44/B43)</f>
        <v>0</v>
      </c>
      <c r="C46" s="31"/>
      <c r="D46" s="10"/>
      <c r="E46" s="22" t="s">
        <v>103</v>
      </c>
      <c r="F46" s="22">
        <f>COUNTIF(G9:G39,E46)</f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19.95" customHeight="1" x14ac:dyDescent="0.3">
      <c r="A47" s="11" t="s">
        <v>104</v>
      </c>
      <c r="B47" s="32">
        <f>IFERROR(AVERAGE(F9:F39),0)</f>
        <v>0</v>
      </c>
      <c r="C47" s="31"/>
      <c r="D47" s="10"/>
      <c r="E47" s="22" t="s">
        <v>105</v>
      </c>
      <c r="F47" s="22">
        <f>COUNTIF(G9:G39,E47)</f>
        <v>31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19.95" customHeight="1" x14ac:dyDescent="0.3">
      <c r="A48" s="11" t="s">
        <v>106</v>
      </c>
      <c r="B48" s="32">
        <f>IFERROR(MAX(F9:F39),0)</f>
        <v>0</v>
      </c>
      <c r="C48" s="3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x14ac:dyDescent="0.3">
      <c r="A49" s="11" t="s">
        <v>107</v>
      </c>
      <c r="B49" s="32">
        <f ca="1">IFERROR(_xludf.MINIFS(F9:F39,F9:F39,"&gt;0"),0)</f>
        <v>0</v>
      </c>
      <c r="C49" s="3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x14ac:dyDescent="0.3">
      <c r="J52" s="10"/>
      <c r="K52" s="10"/>
      <c r="L52" s="10"/>
      <c r="M52" s="10"/>
      <c r="N52" s="10"/>
      <c r="O52" s="10"/>
      <c r="P52" s="10"/>
      <c r="Q52" s="10"/>
    </row>
    <row r="53" spans="1:17" x14ac:dyDescent="0.3">
      <c r="J53" s="10"/>
      <c r="K53" s="10"/>
      <c r="L53" s="10"/>
      <c r="M53" s="10"/>
      <c r="N53" s="10"/>
      <c r="O53" s="10"/>
      <c r="P53" s="10"/>
      <c r="Q53" s="10"/>
    </row>
    <row r="54" spans="1:17" x14ac:dyDescent="0.3">
      <c r="J54" s="10"/>
      <c r="K54" s="10"/>
      <c r="L54" s="10"/>
      <c r="M54" s="10"/>
      <c r="N54" s="10"/>
      <c r="O54" s="10"/>
      <c r="P54" s="10"/>
      <c r="Q54" s="10"/>
    </row>
    <row r="55" spans="1:17" x14ac:dyDescent="0.3">
      <c r="J55" s="10"/>
      <c r="K55" s="10"/>
      <c r="L55" s="10"/>
      <c r="M55" s="10"/>
      <c r="N55" s="10"/>
      <c r="O55" s="10"/>
      <c r="P55" s="10"/>
      <c r="Q55" s="10"/>
    </row>
    <row r="56" spans="1:17" x14ac:dyDescent="0.3">
      <c r="J56" s="10"/>
      <c r="K56" s="10"/>
      <c r="L56" s="10"/>
      <c r="M56" s="10"/>
      <c r="N56" s="10"/>
      <c r="O56" s="10"/>
      <c r="P56" s="10"/>
      <c r="Q56" s="10"/>
    </row>
    <row r="57" spans="1:17" x14ac:dyDescent="0.3">
      <c r="J57" s="10"/>
      <c r="K57" s="10"/>
      <c r="L57" s="10"/>
      <c r="M57" s="10"/>
      <c r="N57" s="10"/>
      <c r="O57" s="10"/>
      <c r="P57" s="10"/>
      <c r="Q57" s="10"/>
    </row>
    <row r="58" spans="1:17" x14ac:dyDescent="0.3">
      <c r="J58" s="10"/>
      <c r="K58" s="10"/>
      <c r="L58" s="10"/>
      <c r="M58" s="10"/>
      <c r="N58" s="10"/>
      <c r="O58" s="10"/>
      <c r="P58" s="10"/>
      <c r="Q58" s="10"/>
    </row>
    <row r="59" spans="1:17" x14ac:dyDescent="0.3">
      <c r="J59" s="10"/>
      <c r="K59" s="10"/>
      <c r="L59" s="10"/>
      <c r="M59" s="10"/>
      <c r="N59" s="10"/>
      <c r="O59" s="10"/>
      <c r="P59" s="10"/>
      <c r="Q59" s="10"/>
    </row>
    <row r="60" spans="1:17" x14ac:dyDescent="0.3">
      <c r="J60" s="10"/>
      <c r="K60" s="10"/>
      <c r="L60" s="10"/>
      <c r="M60" s="10"/>
      <c r="N60" s="10"/>
      <c r="O60" s="10"/>
      <c r="P60" s="10"/>
      <c r="Q60" s="10"/>
    </row>
  </sheetData>
  <autoFilter ref="A8:I39" xr:uid="{00000000-0009-0000-0000-000002000000}"/>
  <mergeCells count="11">
    <mergeCell ref="A1:I1"/>
    <mergeCell ref="B48:C48"/>
    <mergeCell ref="B47:C47"/>
    <mergeCell ref="B44:C44"/>
    <mergeCell ref="B49:C49"/>
    <mergeCell ref="B46:C46"/>
    <mergeCell ref="B43:C43"/>
    <mergeCell ref="B45:C45"/>
    <mergeCell ref="A2:I2"/>
    <mergeCell ref="A42:I42"/>
    <mergeCell ref="B5:C5"/>
  </mergeCells>
  <conditionalFormatting sqref="H9:H39">
    <cfRule type="cellIs" dxfId="11" priority="1" operator="equal">
      <formula>"Tuntas"</formula>
    </cfRule>
    <cfRule type="cellIs" dxfId="10" priority="2" operator="equal">
      <formula>"Belum Tuntas"</formula>
    </cfRule>
  </conditionalFormatting>
  <dataValidations count="1">
    <dataValidation type="list" allowBlank="1" sqref="C9:C39" xr:uid="{00000000-0002-0000-0200-000000000000}">
      <formula1>"L,P"</formula1>
    </dataValidation>
  </dataValidation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xr:uid="{00000000-0002-0000-0200-000001000000}">
          <x14:formula1>
            <xm:f>0</xm:f>
          </x14:formula1>
          <x14:formula2>
            <xm:f>'FORMAT PENILAIAN'!$B$6</xm:f>
          </x14:formula2>
          <xm:sqref>D9:K48 M9:M48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60"/>
  <sheetViews>
    <sheetView showGridLines="0" zoomScale="90" workbookViewId="0">
      <pane xSplit="3" ySplit="8" topLeftCell="D9" activePane="bottomRight" state="frozen"/>
      <selection pane="topRight"/>
      <selection pane="bottomLeft"/>
      <selection pane="bottomRight" activeCell="D8" sqref="D8:E8"/>
    </sheetView>
  </sheetViews>
  <sheetFormatPr defaultRowHeight="14.4" x14ac:dyDescent="0.3"/>
  <cols>
    <col min="1" max="1" width="21.88671875" bestFit="1" customWidth="1"/>
    <col min="2" max="2" width="34" customWidth="1"/>
    <col min="3" max="3" width="8" customWidth="1"/>
    <col min="4" max="6" width="14" customWidth="1"/>
    <col min="7" max="7" width="10" customWidth="1"/>
    <col min="8" max="8" width="16" customWidth="1"/>
    <col min="9" max="9" width="48" customWidth="1"/>
    <col min="10" max="11" width="15" customWidth="1"/>
    <col min="12" max="14" width="14" customWidth="1"/>
    <col min="15" max="15" width="10" customWidth="1"/>
    <col min="16" max="16" width="16" customWidth="1"/>
    <col min="17" max="17" width="48" customWidth="1"/>
  </cols>
  <sheetData>
    <row r="1" spans="1:17" ht="18.600000000000001" x14ac:dyDescent="0.3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10"/>
      <c r="K1" s="10"/>
      <c r="L1" s="10"/>
      <c r="M1" s="10"/>
      <c r="N1" s="10"/>
      <c r="O1" s="10"/>
      <c r="P1" s="10"/>
      <c r="Q1" s="10"/>
    </row>
    <row r="2" spans="1:17" ht="16.8" x14ac:dyDescent="0.3">
      <c r="A2" s="34" t="s">
        <v>2</v>
      </c>
      <c r="B2" s="31"/>
      <c r="C2" s="31"/>
      <c r="D2" s="31"/>
      <c r="E2" s="31"/>
      <c r="F2" s="31"/>
      <c r="G2" s="31"/>
      <c r="H2" s="31"/>
      <c r="I2" s="31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1" t="s">
        <v>53</v>
      </c>
      <c r="B4" s="12" t="s">
        <v>108</v>
      </c>
      <c r="C4" s="10"/>
      <c r="D4" s="11" t="s">
        <v>17</v>
      </c>
      <c r="E4" s="13" t="str">
        <f>'IDENTITAS SEKOLAH'!B8</f>
        <v>2026/2027</v>
      </c>
      <c r="F4" s="10"/>
      <c r="G4" s="11" t="s">
        <v>19</v>
      </c>
      <c r="H4" s="13" t="str">
        <f>'IDENTITAS SEKOLAH'!B9</f>
        <v>Ganjil</v>
      </c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1" t="s">
        <v>23</v>
      </c>
      <c r="B5" s="37">
        <f>'IDENTITAS SEKOLAH'!B11</f>
        <v>0</v>
      </c>
      <c r="C5" s="31"/>
      <c r="D5" s="11" t="s">
        <v>31</v>
      </c>
      <c r="E5" s="14">
        <f>'FORMAT PENILAIAN'!B5</f>
        <v>75</v>
      </c>
      <c r="F5" s="10"/>
      <c r="G5" s="11" t="s">
        <v>55</v>
      </c>
      <c r="H5" s="15">
        <f>'FORMAT PENILAIAN'!H14</f>
        <v>100</v>
      </c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4" t="s">
        <v>39</v>
      </c>
      <c r="B8" s="4" t="s">
        <v>56</v>
      </c>
      <c r="C8" s="4" t="s">
        <v>57</v>
      </c>
      <c r="D8" s="4" t="s">
        <v>49</v>
      </c>
      <c r="E8" s="4" t="s">
        <v>45</v>
      </c>
      <c r="F8" s="4" t="s">
        <v>58</v>
      </c>
      <c r="G8" s="4" t="s">
        <v>59</v>
      </c>
      <c r="H8" s="4" t="s">
        <v>60</v>
      </c>
      <c r="I8" s="4" t="s">
        <v>61</v>
      </c>
      <c r="J8" s="10"/>
      <c r="K8" s="10"/>
      <c r="L8" s="10"/>
      <c r="M8" s="10"/>
      <c r="N8" s="10"/>
      <c r="O8" s="10"/>
      <c r="P8" s="10"/>
      <c r="Q8" s="10"/>
    </row>
    <row r="9" spans="1:17" ht="19.95" customHeight="1" x14ac:dyDescent="0.3">
      <c r="A9" s="18">
        <v>1</v>
      </c>
      <c r="B9" s="16" t="s">
        <v>109</v>
      </c>
      <c r="C9" s="21" t="s">
        <v>77</v>
      </c>
      <c r="D9" s="17"/>
      <c r="E9" s="17"/>
      <c r="F9" s="19">
        <f>IF(B9="","",IF('FORMAT PENILAIAN'!$H$14&lt;&gt;100,"",ROUND(D9*'FORMAT PENILAIAN'!$C$15/100+E9*'FORMAT PENILAIAN'!$C$16/100,2)))</f>
        <v>0</v>
      </c>
      <c r="G9" s="20" t="str">
        <f>IF(F9="","",IF(F9&gt;='FORMAT PENILAIAN'!$B$8,"A",IF(F9&gt;='FORMAT PENILAIAN'!$B$9,"B",IF(F9&gt;='FORMAT PENILAIAN'!$B$10,"C","D"))))</f>
        <v>D</v>
      </c>
      <c r="H9" s="20" t="str">
        <f>IF(F9="","",IF(F9&gt;='FORMAT PENILAIAN'!$B$5,"Tuntas","Belum Tuntas"))</f>
        <v>Belum Tuntas</v>
      </c>
      <c r="I9" s="20" t="str">
        <f t="shared" ref="I9:I23" si="0">IF(F9="","",IF(G9="A","Penguasaan kompetensi sangat baik.",IF(G9="B","Penguasaan kompetensi baik.",IF(G9="C","Penguasaan kompetensi cukup dan masih perlu penguatan.","Belum mencapai KKM."))))</f>
        <v>Belum mencapai KKM.</v>
      </c>
      <c r="J9" s="10"/>
      <c r="K9" s="10"/>
      <c r="L9" s="10"/>
      <c r="M9" s="10"/>
      <c r="N9" s="10"/>
      <c r="O9" s="10"/>
      <c r="P9" s="10"/>
      <c r="Q9" s="10"/>
    </row>
    <row r="10" spans="1:17" ht="19.95" customHeight="1" x14ac:dyDescent="0.3">
      <c r="A10" s="18">
        <v>2</v>
      </c>
      <c r="B10" s="16" t="s">
        <v>110</v>
      </c>
      <c r="C10" s="21" t="s">
        <v>77</v>
      </c>
      <c r="D10" s="17"/>
      <c r="E10" s="17"/>
      <c r="F10" s="19">
        <f>IF(B10="","",IF('FORMAT PENILAIAN'!$H$14&lt;&gt;100,"",ROUND(D10*'FORMAT PENILAIAN'!$C$15/100+E10*'FORMAT PENILAIAN'!$C$16/100,2)))</f>
        <v>0</v>
      </c>
      <c r="G10" s="20" t="str">
        <f>IF(F10="","",IF(F10&gt;='FORMAT PENILAIAN'!$B$8,"A",IF(F10&gt;='FORMAT PENILAIAN'!$B$9,"B",IF(F10&gt;='FORMAT PENILAIAN'!$B$10,"C","D"))))</f>
        <v>D</v>
      </c>
      <c r="H10" s="20" t="str">
        <f>IF(F10="","",IF(F10&gt;='FORMAT PENILAIAN'!$B$5,"Tuntas","Belum Tuntas"))</f>
        <v>Belum Tuntas</v>
      </c>
      <c r="I10" s="20" t="str">
        <f t="shared" si="0"/>
        <v>Belum mencapai KKM.</v>
      </c>
      <c r="J10" s="10"/>
      <c r="K10" s="10"/>
      <c r="L10" s="10"/>
      <c r="M10" s="10"/>
      <c r="N10" s="10"/>
      <c r="O10" s="10"/>
      <c r="P10" s="10"/>
      <c r="Q10" s="10"/>
    </row>
    <row r="11" spans="1:17" ht="19.95" customHeight="1" x14ac:dyDescent="0.3">
      <c r="A11" s="18">
        <v>3</v>
      </c>
      <c r="B11" s="16" t="s">
        <v>111</v>
      </c>
      <c r="C11" s="21" t="s">
        <v>77</v>
      </c>
      <c r="D11" s="17"/>
      <c r="E11" s="17"/>
      <c r="F11" s="19">
        <f>IF(B11="","",IF('FORMAT PENILAIAN'!$H$14&lt;&gt;100,"",ROUND(D11*'FORMAT PENILAIAN'!$C$15/100+E11*'FORMAT PENILAIAN'!$C$16/100,2)))</f>
        <v>0</v>
      </c>
      <c r="G11" s="20" t="str">
        <f>IF(F11="","",IF(F11&gt;='FORMAT PENILAIAN'!$B$8,"A",IF(F11&gt;='FORMAT PENILAIAN'!$B$9,"B",IF(F11&gt;='FORMAT PENILAIAN'!$B$10,"C","D"))))</f>
        <v>D</v>
      </c>
      <c r="H11" s="20" t="str">
        <f>IF(F11="","",IF(F11&gt;='FORMAT PENILAIAN'!$B$5,"Tuntas","Belum Tuntas"))</f>
        <v>Belum Tuntas</v>
      </c>
      <c r="I11" s="20" t="str">
        <f t="shared" si="0"/>
        <v>Belum mencapai KKM.</v>
      </c>
      <c r="J11" s="10"/>
      <c r="K11" s="10"/>
      <c r="L11" s="10"/>
      <c r="M11" s="10"/>
      <c r="N11" s="10"/>
      <c r="O11" s="10"/>
      <c r="P11" s="10"/>
      <c r="Q11" s="10"/>
    </row>
    <row r="12" spans="1:17" ht="19.95" customHeight="1" x14ac:dyDescent="0.3">
      <c r="A12" s="18">
        <v>4</v>
      </c>
      <c r="B12" s="16" t="s">
        <v>112</v>
      </c>
      <c r="C12" s="21" t="s">
        <v>77</v>
      </c>
      <c r="D12" s="17"/>
      <c r="E12" s="17"/>
      <c r="F12" s="19">
        <f>IF(B12="","",IF('FORMAT PENILAIAN'!$H$14&lt;&gt;100,"",ROUND(D12*'FORMAT PENILAIAN'!$C$15/100+E12*'FORMAT PENILAIAN'!$C$16/100,2)))</f>
        <v>0</v>
      </c>
      <c r="G12" s="20" t="str">
        <f>IF(F12="","",IF(F12&gt;='FORMAT PENILAIAN'!$B$8,"A",IF(F12&gt;='FORMAT PENILAIAN'!$B$9,"B",IF(F12&gt;='FORMAT PENILAIAN'!$B$10,"C","D"))))</f>
        <v>D</v>
      </c>
      <c r="H12" s="20" t="str">
        <f>IF(F12="","",IF(F12&gt;='FORMAT PENILAIAN'!$B$5,"Tuntas","Belum Tuntas"))</f>
        <v>Belum Tuntas</v>
      </c>
      <c r="I12" s="20" t="str">
        <f t="shared" si="0"/>
        <v>Belum mencapai KKM.</v>
      </c>
      <c r="J12" s="10"/>
      <c r="K12" s="10"/>
      <c r="L12" s="10"/>
      <c r="M12" s="10"/>
      <c r="N12" s="10"/>
      <c r="O12" s="10"/>
      <c r="P12" s="10"/>
      <c r="Q12" s="10"/>
    </row>
    <row r="13" spans="1:17" ht="19.95" customHeight="1" x14ac:dyDescent="0.3">
      <c r="A13" s="18">
        <v>5</v>
      </c>
      <c r="B13" s="16" t="s">
        <v>113</v>
      </c>
      <c r="C13" s="21" t="s">
        <v>77</v>
      </c>
      <c r="D13" s="17"/>
      <c r="E13" s="17"/>
      <c r="F13" s="19">
        <f>IF(B13="","",IF('FORMAT PENILAIAN'!$H$14&lt;&gt;100,"",ROUND(D13*'FORMAT PENILAIAN'!$C$15/100+E13*'FORMAT PENILAIAN'!$C$16/100,2)))</f>
        <v>0</v>
      </c>
      <c r="G13" s="20" t="str">
        <f>IF(F13="","",IF(F13&gt;='FORMAT PENILAIAN'!$B$8,"A",IF(F13&gt;='FORMAT PENILAIAN'!$B$9,"B",IF(F13&gt;='FORMAT PENILAIAN'!$B$10,"C","D"))))</f>
        <v>D</v>
      </c>
      <c r="H13" s="20" t="str">
        <f>IF(F13="","",IF(F13&gt;='FORMAT PENILAIAN'!$B$5,"Tuntas","Belum Tuntas"))</f>
        <v>Belum Tuntas</v>
      </c>
      <c r="I13" s="20" t="str">
        <f t="shared" si="0"/>
        <v>Belum mencapai KKM.</v>
      </c>
      <c r="J13" s="10"/>
      <c r="K13" s="10"/>
      <c r="L13" s="10"/>
      <c r="M13" s="10"/>
      <c r="N13" s="10"/>
      <c r="O13" s="10"/>
      <c r="P13" s="10"/>
      <c r="Q13" s="10"/>
    </row>
    <row r="14" spans="1:17" ht="19.95" customHeight="1" x14ac:dyDescent="0.3">
      <c r="A14" s="18">
        <v>6</v>
      </c>
      <c r="B14" s="16" t="s">
        <v>114</v>
      </c>
      <c r="C14" s="21" t="s">
        <v>77</v>
      </c>
      <c r="D14" s="17"/>
      <c r="E14" s="17"/>
      <c r="F14" s="19">
        <f>IF(B14="","",IF('FORMAT PENILAIAN'!$H$14&lt;&gt;100,"",ROUND(D14*'FORMAT PENILAIAN'!$C$15/100+E14*'FORMAT PENILAIAN'!$C$16/100,2)))</f>
        <v>0</v>
      </c>
      <c r="G14" s="20" t="str">
        <f>IF(F14="","",IF(F14&gt;='FORMAT PENILAIAN'!$B$8,"A",IF(F14&gt;='FORMAT PENILAIAN'!$B$9,"B",IF(F14&gt;='FORMAT PENILAIAN'!$B$10,"C","D"))))</f>
        <v>D</v>
      </c>
      <c r="H14" s="20" t="str">
        <f>IF(F14="","",IF(F14&gt;='FORMAT PENILAIAN'!$B$5,"Tuntas","Belum Tuntas"))</f>
        <v>Belum Tuntas</v>
      </c>
      <c r="I14" s="20" t="str">
        <f t="shared" si="0"/>
        <v>Belum mencapai KKM.</v>
      </c>
      <c r="J14" s="10"/>
      <c r="K14" s="10"/>
      <c r="L14" s="10"/>
      <c r="M14" s="10"/>
      <c r="N14" s="10"/>
      <c r="O14" s="10"/>
      <c r="P14" s="10"/>
      <c r="Q14" s="10"/>
    </row>
    <row r="15" spans="1:17" ht="19.95" customHeight="1" x14ac:dyDescent="0.3">
      <c r="A15" s="18">
        <v>7</v>
      </c>
      <c r="B15" s="16" t="s">
        <v>115</v>
      </c>
      <c r="C15" s="21" t="s">
        <v>77</v>
      </c>
      <c r="D15" s="17"/>
      <c r="E15" s="17"/>
      <c r="F15" s="19">
        <f>IF(B15="","",IF('FORMAT PENILAIAN'!$H$14&lt;&gt;100,"",ROUND(D15*'FORMAT PENILAIAN'!$C$15/100+E15*'FORMAT PENILAIAN'!$C$16/100,2)))</f>
        <v>0</v>
      </c>
      <c r="G15" s="20" t="str">
        <f>IF(F15="","",IF(F15&gt;='FORMAT PENILAIAN'!$B$8,"A",IF(F15&gt;='FORMAT PENILAIAN'!$B$9,"B",IF(F15&gt;='FORMAT PENILAIAN'!$B$10,"C","D"))))</f>
        <v>D</v>
      </c>
      <c r="H15" s="20" t="str">
        <f>IF(F15="","",IF(F15&gt;='FORMAT PENILAIAN'!$B$5,"Tuntas","Belum Tuntas"))</f>
        <v>Belum Tuntas</v>
      </c>
      <c r="I15" s="20" t="str">
        <f t="shared" si="0"/>
        <v>Belum mencapai KKM.</v>
      </c>
      <c r="J15" s="10"/>
      <c r="K15" s="10"/>
      <c r="L15" s="10"/>
      <c r="M15" s="10"/>
      <c r="N15" s="10"/>
      <c r="O15" s="10"/>
      <c r="P15" s="10"/>
      <c r="Q15" s="10"/>
    </row>
    <row r="16" spans="1:17" ht="19.95" customHeight="1" x14ac:dyDescent="0.3">
      <c r="A16" s="18">
        <v>8</v>
      </c>
      <c r="B16" s="16" t="s">
        <v>116</v>
      </c>
      <c r="C16" s="21" t="s">
        <v>77</v>
      </c>
      <c r="D16" s="17"/>
      <c r="E16" s="17"/>
      <c r="F16" s="19">
        <f>IF(B16="","",IF('FORMAT PENILAIAN'!$H$14&lt;&gt;100,"",ROUND(D16*'FORMAT PENILAIAN'!$C$15/100+E16*'FORMAT PENILAIAN'!$C$16/100,2)))</f>
        <v>0</v>
      </c>
      <c r="G16" s="20" t="str">
        <f>IF(F16="","",IF(F16&gt;='FORMAT PENILAIAN'!$B$8,"A",IF(F16&gt;='FORMAT PENILAIAN'!$B$9,"B",IF(F16&gt;='FORMAT PENILAIAN'!$B$10,"C","D"))))</f>
        <v>D</v>
      </c>
      <c r="H16" s="20" t="str">
        <f>IF(F16="","",IF(F16&gt;='FORMAT PENILAIAN'!$B$5,"Tuntas","Belum Tuntas"))</f>
        <v>Belum Tuntas</v>
      </c>
      <c r="I16" s="20" t="str">
        <f t="shared" si="0"/>
        <v>Belum mencapai KKM.</v>
      </c>
      <c r="J16" s="10"/>
      <c r="K16" s="10"/>
      <c r="L16" s="10"/>
      <c r="M16" s="10"/>
      <c r="N16" s="10"/>
      <c r="O16" s="10"/>
      <c r="P16" s="10"/>
      <c r="Q16" s="10"/>
    </row>
    <row r="17" spans="1:17" ht="19.95" customHeight="1" x14ac:dyDescent="0.3">
      <c r="A17" s="18">
        <v>9</v>
      </c>
      <c r="B17" s="16" t="s">
        <v>117</v>
      </c>
      <c r="C17" s="21" t="s">
        <v>77</v>
      </c>
      <c r="D17" s="17"/>
      <c r="E17" s="17"/>
      <c r="F17" s="19">
        <f>IF(B17="","",IF('FORMAT PENILAIAN'!$H$14&lt;&gt;100,"",ROUND(D17*'FORMAT PENILAIAN'!$C$15/100+E17*'FORMAT PENILAIAN'!$C$16/100,2)))</f>
        <v>0</v>
      </c>
      <c r="G17" s="20" t="str">
        <f>IF(F17="","",IF(F17&gt;='FORMAT PENILAIAN'!$B$8,"A",IF(F17&gt;='FORMAT PENILAIAN'!$B$9,"B",IF(F17&gt;='FORMAT PENILAIAN'!$B$10,"C","D"))))</f>
        <v>D</v>
      </c>
      <c r="H17" s="20" t="str">
        <f>IF(F17="","",IF(F17&gt;='FORMAT PENILAIAN'!$B$5,"Tuntas","Belum Tuntas"))</f>
        <v>Belum Tuntas</v>
      </c>
      <c r="I17" s="20" t="str">
        <f t="shared" si="0"/>
        <v>Belum mencapai KKM.</v>
      </c>
      <c r="J17" s="10"/>
      <c r="K17" s="10"/>
      <c r="L17" s="10"/>
      <c r="M17" s="10"/>
      <c r="N17" s="10"/>
      <c r="O17" s="10"/>
      <c r="P17" s="10"/>
      <c r="Q17" s="10"/>
    </row>
    <row r="18" spans="1:17" ht="19.95" customHeight="1" x14ac:dyDescent="0.3">
      <c r="A18" s="18">
        <v>10</v>
      </c>
      <c r="B18" s="16" t="s">
        <v>118</v>
      </c>
      <c r="C18" s="21" t="s">
        <v>77</v>
      </c>
      <c r="D18" s="17"/>
      <c r="E18" s="17"/>
      <c r="F18" s="19">
        <f>IF(B18="","",IF('FORMAT PENILAIAN'!$H$14&lt;&gt;100,"",ROUND(D18*'FORMAT PENILAIAN'!$C$15/100+E18*'FORMAT PENILAIAN'!$C$16/100,2)))</f>
        <v>0</v>
      </c>
      <c r="G18" s="20" t="str">
        <f>IF(F18="","",IF(F18&gt;='FORMAT PENILAIAN'!$B$8,"A",IF(F18&gt;='FORMAT PENILAIAN'!$B$9,"B",IF(F18&gt;='FORMAT PENILAIAN'!$B$10,"C","D"))))</f>
        <v>D</v>
      </c>
      <c r="H18" s="20" t="str">
        <f>IF(F18="","",IF(F18&gt;='FORMAT PENILAIAN'!$B$5,"Tuntas","Belum Tuntas"))</f>
        <v>Belum Tuntas</v>
      </c>
      <c r="I18" s="20" t="str">
        <f t="shared" si="0"/>
        <v>Belum mencapai KKM.</v>
      </c>
      <c r="J18" s="10"/>
      <c r="K18" s="10"/>
      <c r="L18" s="10"/>
      <c r="M18" s="10"/>
      <c r="N18" s="10"/>
      <c r="O18" s="10"/>
      <c r="P18" s="10"/>
      <c r="Q18" s="10"/>
    </row>
    <row r="19" spans="1:17" ht="19.95" customHeight="1" x14ac:dyDescent="0.3">
      <c r="A19" s="18">
        <v>11</v>
      </c>
      <c r="B19" s="16" t="s">
        <v>119</v>
      </c>
      <c r="C19" s="21" t="s">
        <v>77</v>
      </c>
      <c r="D19" s="17"/>
      <c r="E19" s="17"/>
      <c r="F19" s="19">
        <f>IF(B19="","",IF('FORMAT PENILAIAN'!$H$14&lt;&gt;100,"",ROUND(D19*'FORMAT PENILAIAN'!$C$15/100+E19*'FORMAT PENILAIAN'!$C$16/100,2)))</f>
        <v>0</v>
      </c>
      <c r="G19" s="20" t="str">
        <f>IF(F19="","",IF(F19&gt;='FORMAT PENILAIAN'!$B$8,"A",IF(F19&gt;='FORMAT PENILAIAN'!$B$9,"B",IF(F19&gt;='FORMAT PENILAIAN'!$B$10,"C","D"))))</f>
        <v>D</v>
      </c>
      <c r="H19" s="20" t="str">
        <f>IF(F19="","",IF(F19&gt;='FORMAT PENILAIAN'!$B$5,"Tuntas","Belum Tuntas"))</f>
        <v>Belum Tuntas</v>
      </c>
      <c r="I19" s="20" t="str">
        <f t="shared" si="0"/>
        <v>Belum mencapai KKM.</v>
      </c>
      <c r="J19" s="10"/>
      <c r="K19" s="10"/>
      <c r="L19" s="10"/>
      <c r="M19" s="10"/>
      <c r="N19" s="10"/>
      <c r="O19" s="10"/>
      <c r="P19" s="10"/>
      <c r="Q19" s="10"/>
    </row>
    <row r="20" spans="1:17" ht="19.95" customHeight="1" x14ac:dyDescent="0.3">
      <c r="A20" s="18">
        <v>12</v>
      </c>
      <c r="B20" s="16" t="s">
        <v>120</v>
      </c>
      <c r="C20" s="21" t="s">
        <v>77</v>
      </c>
      <c r="D20" s="17"/>
      <c r="E20" s="17"/>
      <c r="F20" s="19">
        <f>IF(B20="","",IF('FORMAT PENILAIAN'!$H$14&lt;&gt;100,"",ROUND(D20*'FORMAT PENILAIAN'!$C$15/100+E20*'FORMAT PENILAIAN'!$C$16/100,2)))</f>
        <v>0</v>
      </c>
      <c r="G20" s="20" t="str">
        <f>IF(F20="","",IF(F20&gt;='FORMAT PENILAIAN'!$B$8,"A",IF(F20&gt;='FORMAT PENILAIAN'!$B$9,"B",IF(F20&gt;='FORMAT PENILAIAN'!$B$10,"C","D"))))</f>
        <v>D</v>
      </c>
      <c r="H20" s="20" t="str">
        <f>IF(F20="","",IF(F20&gt;='FORMAT PENILAIAN'!$B$5,"Tuntas","Belum Tuntas"))</f>
        <v>Belum Tuntas</v>
      </c>
      <c r="I20" s="20" t="str">
        <f t="shared" si="0"/>
        <v>Belum mencapai KKM.</v>
      </c>
      <c r="J20" s="10"/>
      <c r="K20" s="10"/>
      <c r="L20" s="10"/>
      <c r="M20" s="10"/>
      <c r="N20" s="10"/>
      <c r="O20" s="10"/>
      <c r="P20" s="10"/>
      <c r="Q20" s="10"/>
    </row>
    <row r="21" spans="1:17" ht="19.95" customHeight="1" x14ac:dyDescent="0.3">
      <c r="A21" s="18">
        <v>13</v>
      </c>
      <c r="B21" s="16" t="s">
        <v>121</v>
      </c>
      <c r="C21" s="21" t="s">
        <v>77</v>
      </c>
      <c r="D21" s="17"/>
      <c r="E21" s="17"/>
      <c r="F21" s="19">
        <f>IF(B21="","",IF('FORMAT PENILAIAN'!$H$14&lt;&gt;100,"",ROUND(D21*'FORMAT PENILAIAN'!$C$15/100+E21*'FORMAT PENILAIAN'!$C$16/100,2)))</f>
        <v>0</v>
      </c>
      <c r="G21" s="20" t="str">
        <f>IF(F21="","",IF(F21&gt;='FORMAT PENILAIAN'!$B$8,"A",IF(F21&gt;='FORMAT PENILAIAN'!$B$9,"B",IF(F21&gt;='FORMAT PENILAIAN'!$B$10,"C","D"))))</f>
        <v>D</v>
      </c>
      <c r="H21" s="20" t="str">
        <f>IF(F21="","",IF(F21&gt;='FORMAT PENILAIAN'!$B$5,"Tuntas","Belum Tuntas"))</f>
        <v>Belum Tuntas</v>
      </c>
      <c r="I21" s="20" t="str">
        <f t="shared" si="0"/>
        <v>Belum mencapai KKM.</v>
      </c>
      <c r="J21" s="10"/>
      <c r="K21" s="10"/>
      <c r="L21" s="10"/>
      <c r="M21" s="10"/>
      <c r="N21" s="10"/>
      <c r="O21" s="10"/>
      <c r="P21" s="10"/>
      <c r="Q21" s="10"/>
    </row>
    <row r="22" spans="1:17" ht="19.95" customHeight="1" x14ac:dyDescent="0.3">
      <c r="A22" s="18">
        <v>14</v>
      </c>
      <c r="B22" s="16" t="s">
        <v>122</v>
      </c>
      <c r="C22" s="21" t="s">
        <v>77</v>
      </c>
      <c r="D22" s="17"/>
      <c r="E22" s="17"/>
      <c r="F22" s="19">
        <f>IF(B22="","",IF('FORMAT PENILAIAN'!$H$14&lt;&gt;100,"",ROUND(D22*'FORMAT PENILAIAN'!$C$15/100+E22*'FORMAT PENILAIAN'!$C$16/100,2)))</f>
        <v>0</v>
      </c>
      <c r="G22" s="20" t="str">
        <f>IF(F22="","",IF(F22&gt;='FORMAT PENILAIAN'!$B$8,"A",IF(F22&gt;='FORMAT PENILAIAN'!$B$9,"B",IF(F22&gt;='FORMAT PENILAIAN'!$B$10,"C","D"))))</f>
        <v>D</v>
      </c>
      <c r="H22" s="20" t="str">
        <f>IF(F22="","",IF(F22&gt;='FORMAT PENILAIAN'!$B$5,"Tuntas","Belum Tuntas"))</f>
        <v>Belum Tuntas</v>
      </c>
      <c r="I22" s="20" t="str">
        <f t="shared" si="0"/>
        <v>Belum mencapai KKM.</v>
      </c>
      <c r="J22" s="10"/>
      <c r="K22" s="10"/>
      <c r="L22" s="10"/>
      <c r="M22" s="10"/>
      <c r="N22" s="10"/>
      <c r="O22" s="10"/>
      <c r="P22" s="10"/>
      <c r="Q22" s="10"/>
    </row>
    <row r="23" spans="1:17" ht="19.95" customHeight="1" x14ac:dyDescent="0.3">
      <c r="A23" s="18">
        <v>15</v>
      </c>
      <c r="B23" s="16" t="s">
        <v>123</v>
      </c>
      <c r="C23" s="21" t="s">
        <v>77</v>
      </c>
      <c r="D23" s="17"/>
      <c r="E23" s="17"/>
      <c r="F23" s="19">
        <f>IF(B23="","",IF('FORMAT PENILAIAN'!$H$14&lt;&gt;100,"",ROUND(D23*'FORMAT PENILAIAN'!$C$15/100+E23*'FORMAT PENILAIAN'!$C$16/100,2)))</f>
        <v>0</v>
      </c>
      <c r="G23" s="20" t="str">
        <f>IF(F23="","",IF(F23&gt;='FORMAT PENILAIAN'!$B$8,"A",IF(F23&gt;='FORMAT PENILAIAN'!$B$9,"B",IF(F23&gt;='FORMAT PENILAIAN'!$B$10,"C","D"))))</f>
        <v>D</v>
      </c>
      <c r="H23" s="20" t="str">
        <f>IF(F23="","",IF(F23&gt;='FORMAT PENILAIAN'!$B$5,"Tuntas","Belum Tuntas"))</f>
        <v>Belum Tuntas</v>
      </c>
      <c r="I23" s="20" t="str">
        <f t="shared" si="0"/>
        <v>Belum mencapai KKM.</v>
      </c>
      <c r="J23" s="10"/>
      <c r="K23" s="10"/>
      <c r="L23" s="10"/>
      <c r="M23" s="10"/>
      <c r="N23" s="10"/>
      <c r="O23" s="10"/>
      <c r="P23" s="10"/>
      <c r="Q23" s="10"/>
    </row>
    <row r="24" spans="1:17" ht="19.9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19.9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19.95" customHeight="1" x14ac:dyDescent="0.3">
      <c r="A26" s="35" t="s">
        <v>95</v>
      </c>
      <c r="B26" s="36"/>
      <c r="C26" s="36"/>
      <c r="D26" s="36"/>
      <c r="E26" s="36"/>
      <c r="F26" s="36"/>
      <c r="G26" s="36"/>
      <c r="H26" s="36"/>
      <c r="I26" s="36"/>
      <c r="J26" s="10"/>
      <c r="K26" s="10"/>
      <c r="L26" s="10"/>
      <c r="M26" s="10"/>
      <c r="N26" s="10"/>
      <c r="O26" s="10"/>
      <c r="P26" s="10"/>
      <c r="Q26" s="10"/>
    </row>
    <row r="27" spans="1:17" ht="19.95" customHeight="1" x14ac:dyDescent="0.3">
      <c r="A27" s="11" t="s">
        <v>96</v>
      </c>
      <c r="B27" s="32">
        <f>COUNTIF(B9:B23,"&lt;&gt;")</f>
        <v>15</v>
      </c>
      <c r="C27" s="31"/>
      <c r="D27" s="10"/>
      <c r="E27" s="29" t="s">
        <v>59</v>
      </c>
      <c r="F27" s="29" t="s">
        <v>97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ht="19.95" customHeight="1" x14ac:dyDescent="0.3">
      <c r="A28" s="11" t="s">
        <v>98</v>
      </c>
      <c r="B28" s="32">
        <f>COUNTIF(H9:H23,"Tuntas")</f>
        <v>0</v>
      </c>
      <c r="C28" s="31"/>
      <c r="D28" s="10"/>
      <c r="E28" s="22" t="s">
        <v>99</v>
      </c>
      <c r="F28" s="22">
        <f>COUNTIF(G9:G23,E28)</f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ht="19.95" customHeight="1" x14ac:dyDescent="0.3">
      <c r="A29" s="11" t="s">
        <v>100</v>
      </c>
      <c r="B29" s="32">
        <f>COUNTIF(H9:H23,"Belum Tuntas")</f>
        <v>15</v>
      </c>
      <c r="C29" s="31"/>
      <c r="D29" s="10"/>
      <c r="E29" s="22" t="s">
        <v>101</v>
      </c>
      <c r="F29" s="22">
        <f>COUNTIF(G9:G23,E29)</f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9.95" customHeight="1" x14ac:dyDescent="0.3">
      <c r="A30" s="11" t="s">
        <v>102</v>
      </c>
      <c r="B30" s="33">
        <f>IF(B27=0,0,B28/B27)</f>
        <v>0</v>
      </c>
      <c r="C30" s="31"/>
      <c r="D30" s="10"/>
      <c r="E30" s="22" t="s">
        <v>103</v>
      </c>
      <c r="F30" s="22">
        <f>COUNTIF(G9:G23,E30)</f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ht="19.95" customHeight="1" x14ac:dyDescent="0.3">
      <c r="A31" s="11" t="s">
        <v>104</v>
      </c>
      <c r="B31" s="32">
        <f>IFERROR(AVERAGE(F9:F23),0)</f>
        <v>0</v>
      </c>
      <c r="C31" s="31"/>
      <c r="D31" s="10"/>
      <c r="E31" s="22" t="s">
        <v>105</v>
      </c>
      <c r="F31" s="22">
        <f>COUNTIF(G9:G23,E31)</f>
        <v>15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ht="19.95" customHeight="1" x14ac:dyDescent="0.3">
      <c r="A32" s="11" t="s">
        <v>106</v>
      </c>
      <c r="B32" s="32">
        <f>IFERROR(MAX(F9:F23),0)</f>
        <v>0</v>
      </c>
      <c r="C32" s="3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ht="19.95" customHeight="1" x14ac:dyDescent="0.3">
      <c r="A33" s="11" t="s">
        <v>107</v>
      </c>
      <c r="B33" s="32">
        <f ca="1">IFERROR(_xludf.MINIFS(F9:F23,F9:F23,"&gt;0"),0)</f>
        <v>0</v>
      </c>
      <c r="C33" s="3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19.9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19.9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19.95" customHeight="1" x14ac:dyDescent="0.3">
      <c r="J36" s="10"/>
      <c r="K36" s="10"/>
      <c r="L36" s="10"/>
      <c r="M36" s="10"/>
      <c r="N36" s="10"/>
      <c r="O36" s="10"/>
      <c r="P36" s="10"/>
      <c r="Q36" s="10"/>
    </row>
    <row r="37" spans="1:17" ht="19.95" customHeight="1" x14ac:dyDescent="0.3">
      <c r="J37" s="10"/>
      <c r="K37" s="10"/>
      <c r="L37" s="10"/>
      <c r="M37" s="10"/>
      <c r="N37" s="10"/>
      <c r="O37" s="10"/>
      <c r="P37" s="10"/>
      <c r="Q37" s="10"/>
    </row>
    <row r="38" spans="1:17" ht="19.95" customHeight="1" x14ac:dyDescent="0.3">
      <c r="J38" s="10"/>
      <c r="K38" s="10"/>
      <c r="L38" s="10"/>
      <c r="M38" s="10"/>
      <c r="N38" s="10"/>
      <c r="O38" s="10"/>
      <c r="P38" s="10"/>
      <c r="Q38" s="10"/>
    </row>
    <row r="39" spans="1:17" ht="19.95" customHeight="1" x14ac:dyDescent="0.3">
      <c r="J39" s="10"/>
      <c r="K39" s="10"/>
      <c r="L39" s="10"/>
      <c r="M39" s="10"/>
      <c r="N39" s="10"/>
      <c r="O39" s="10"/>
      <c r="P39" s="10"/>
      <c r="Q39" s="10"/>
    </row>
    <row r="40" spans="1:17" ht="19.95" customHeight="1" x14ac:dyDescent="0.3">
      <c r="J40" s="10"/>
      <c r="K40" s="10"/>
      <c r="L40" s="10"/>
      <c r="M40" s="10"/>
      <c r="N40" s="10"/>
      <c r="O40" s="10"/>
      <c r="P40" s="10"/>
      <c r="Q40" s="10"/>
    </row>
    <row r="41" spans="1:17" ht="19.95" customHeight="1" x14ac:dyDescent="0.3">
      <c r="J41" s="10"/>
      <c r="K41" s="10"/>
      <c r="L41" s="10"/>
      <c r="M41" s="10"/>
      <c r="N41" s="10"/>
      <c r="O41" s="10"/>
      <c r="P41" s="10"/>
      <c r="Q41" s="10"/>
    </row>
    <row r="42" spans="1:17" ht="19.95" customHeight="1" x14ac:dyDescent="0.3">
      <c r="J42" s="10"/>
      <c r="K42" s="10"/>
      <c r="L42" s="10"/>
      <c r="M42" s="10"/>
      <c r="N42" s="10"/>
      <c r="O42" s="10"/>
      <c r="P42" s="10"/>
      <c r="Q42" s="10"/>
    </row>
    <row r="43" spans="1:17" ht="19.95" customHeight="1" x14ac:dyDescent="0.3">
      <c r="J43" s="10"/>
      <c r="K43" s="10"/>
      <c r="L43" s="10"/>
      <c r="M43" s="10"/>
      <c r="N43" s="10"/>
      <c r="O43" s="10"/>
      <c r="P43" s="10"/>
      <c r="Q43" s="10"/>
    </row>
    <row r="44" spans="1:17" ht="19.95" customHeight="1" x14ac:dyDescent="0.3">
      <c r="J44" s="10"/>
      <c r="K44" s="10"/>
      <c r="L44" s="10"/>
      <c r="M44" s="10"/>
      <c r="N44" s="10"/>
      <c r="O44" s="10"/>
      <c r="P44" s="10"/>
      <c r="Q44" s="10"/>
    </row>
    <row r="45" spans="1:17" ht="19.95" customHeight="1" x14ac:dyDescent="0.3">
      <c r="J45" s="10"/>
      <c r="K45" s="10"/>
      <c r="L45" s="10"/>
      <c r="M45" s="10"/>
      <c r="N45" s="10"/>
      <c r="O45" s="10"/>
      <c r="P45" s="10"/>
      <c r="Q45" s="10"/>
    </row>
    <row r="46" spans="1:17" ht="19.95" customHeight="1" x14ac:dyDescent="0.3">
      <c r="J46" s="10"/>
      <c r="K46" s="10"/>
      <c r="L46" s="10"/>
      <c r="M46" s="10"/>
      <c r="N46" s="10"/>
      <c r="O46" s="10"/>
      <c r="P46" s="10"/>
      <c r="Q46" s="10"/>
    </row>
    <row r="47" spans="1:17" ht="19.95" customHeight="1" x14ac:dyDescent="0.3">
      <c r="J47" s="10"/>
      <c r="K47" s="10"/>
      <c r="L47" s="10"/>
      <c r="M47" s="10"/>
      <c r="N47" s="10"/>
      <c r="O47" s="10"/>
      <c r="P47" s="10"/>
      <c r="Q47" s="10"/>
    </row>
    <row r="48" spans="1:17" ht="19.95" customHeight="1" x14ac:dyDescent="0.3">
      <c r="J48" s="10"/>
      <c r="K48" s="10"/>
      <c r="L48" s="10"/>
      <c r="M48" s="10"/>
      <c r="N48" s="10"/>
      <c r="O48" s="10"/>
      <c r="P48" s="10"/>
      <c r="Q48" s="10"/>
    </row>
    <row r="49" spans="10:17" x14ac:dyDescent="0.3">
      <c r="J49" s="10"/>
      <c r="K49" s="10"/>
      <c r="L49" s="10"/>
      <c r="M49" s="10"/>
      <c r="N49" s="10"/>
      <c r="O49" s="10"/>
      <c r="P49" s="10"/>
      <c r="Q49" s="10"/>
    </row>
    <row r="50" spans="10:17" x14ac:dyDescent="0.3">
      <c r="J50" s="10"/>
      <c r="K50" s="10"/>
      <c r="L50" s="10"/>
      <c r="M50" s="10"/>
      <c r="N50" s="10"/>
      <c r="O50" s="10"/>
      <c r="P50" s="10"/>
      <c r="Q50" s="10"/>
    </row>
    <row r="51" spans="10:17" x14ac:dyDescent="0.3">
      <c r="J51" s="10"/>
      <c r="K51" s="10"/>
      <c r="L51" s="10"/>
      <c r="M51" s="10"/>
      <c r="N51" s="10"/>
      <c r="O51" s="10"/>
      <c r="P51" s="10"/>
      <c r="Q51" s="10"/>
    </row>
    <row r="52" spans="10:17" x14ac:dyDescent="0.3">
      <c r="J52" s="10"/>
      <c r="K52" s="10"/>
      <c r="L52" s="10"/>
      <c r="M52" s="10"/>
      <c r="N52" s="10"/>
      <c r="O52" s="10"/>
      <c r="P52" s="10"/>
      <c r="Q52" s="10"/>
    </row>
    <row r="53" spans="10:17" x14ac:dyDescent="0.3">
      <c r="J53" s="10"/>
      <c r="K53" s="10"/>
      <c r="L53" s="10"/>
      <c r="M53" s="10"/>
      <c r="N53" s="10"/>
      <c r="O53" s="10"/>
      <c r="P53" s="10"/>
      <c r="Q53" s="10"/>
    </row>
    <row r="54" spans="10:17" x14ac:dyDescent="0.3">
      <c r="J54" s="10"/>
      <c r="K54" s="10"/>
      <c r="L54" s="10"/>
      <c r="M54" s="10"/>
      <c r="N54" s="10"/>
      <c r="O54" s="10"/>
      <c r="P54" s="10"/>
      <c r="Q54" s="10"/>
    </row>
    <row r="55" spans="10:17" x14ac:dyDescent="0.3">
      <c r="J55" s="10"/>
      <c r="K55" s="10"/>
      <c r="L55" s="10"/>
      <c r="M55" s="10"/>
      <c r="N55" s="10"/>
      <c r="O55" s="10"/>
      <c r="P55" s="10"/>
      <c r="Q55" s="10"/>
    </row>
    <row r="56" spans="10:17" x14ac:dyDescent="0.3">
      <c r="J56" s="10"/>
      <c r="K56" s="10"/>
      <c r="L56" s="10"/>
      <c r="M56" s="10"/>
      <c r="N56" s="10"/>
      <c r="O56" s="10"/>
      <c r="P56" s="10"/>
      <c r="Q56" s="10"/>
    </row>
    <row r="57" spans="10:17" x14ac:dyDescent="0.3">
      <c r="J57" s="10"/>
      <c r="K57" s="10"/>
      <c r="L57" s="10"/>
      <c r="M57" s="10"/>
      <c r="N57" s="10"/>
      <c r="O57" s="10"/>
      <c r="P57" s="10"/>
      <c r="Q57" s="10"/>
    </row>
    <row r="58" spans="10:17" x14ac:dyDescent="0.3">
      <c r="J58" s="10"/>
      <c r="K58" s="10"/>
      <c r="L58" s="10"/>
      <c r="M58" s="10"/>
      <c r="N58" s="10"/>
      <c r="O58" s="10"/>
      <c r="P58" s="10"/>
      <c r="Q58" s="10"/>
    </row>
    <row r="59" spans="10:17" x14ac:dyDescent="0.3">
      <c r="J59" s="10"/>
      <c r="K59" s="10"/>
      <c r="L59" s="10"/>
      <c r="M59" s="10"/>
      <c r="N59" s="10"/>
      <c r="O59" s="10"/>
      <c r="P59" s="10"/>
      <c r="Q59" s="10"/>
    </row>
    <row r="60" spans="10:17" x14ac:dyDescent="0.3">
      <c r="J60" s="10"/>
      <c r="K60" s="10"/>
      <c r="L60" s="10"/>
      <c r="M60" s="10"/>
      <c r="N60" s="10"/>
      <c r="O60" s="10"/>
      <c r="P60" s="10"/>
      <c r="Q60" s="10"/>
    </row>
  </sheetData>
  <autoFilter ref="A8:I23" xr:uid="{00000000-0009-0000-0000-000003000000}"/>
  <mergeCells count="11">
    <mergeCell ref="A1:I1"/>
    <mergeCell ref="B32:C32"/>
    <mergeCell ref="B31:C31"/>
    <mergeCell ref="B28:C28"/>
    <mergeCell ref="B33:C33"/>
    <mergeCell ref="B30:C30"/>
    <mergeCell ref="B27:C27"/>
    <mergeCell ref="B29:C29"/>
    <mergeCell ref="A2:I2"/>
    <mergeCell ref="A26:I26"/>
    <mergeCell ref="B5:C5"/>
  </mergeCells>
  <conditionalFormatting sqref="H9:H23">
    <cfRule type="cellIs" dxfId="9" priority="1" operator="equal">
      <formula>"Tuntas"</formula>
    </cfRule>
    <cfRule type="cellIs" dxfId="8" priority="2" operator="equal">
      <formula>"Belum Tuntas"</formula>
    </cfRule>
  </conditionalFormatting>
  <dataValidations count="1">
    <dataValidation type="list" allowBlank="1" sqref="C9:C23" xr:uid="{00000000-0002-0000-0300-000000000000}">
      <formula1>"L,P"</formula1>
    </dataValidation>
  </dataValidation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xr:uid="{00000000-0002-0000-0300-000001000000}">
          <x14:formula1>
            <xm:f>0</xm:f>
          </x14:formula1>
          <x14:formula2>
            <xm:f>'FORMAT PENILAIAN'!$B$6</xm:f>
          </x14:formula2>
          <xm:sqref>D9:K48 M9:M48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60"/>
  <sheetViews>
    <sheetView showGridLines="0" zoomScale="90" workbookViewId="0">
      <pane xSplit="3" ySplit="8" topLeftCell="D35" activePane="bottomRight" state="frozen"/>
      <selection pane="topRight"/>
      <selection pane="bottomLeft"/>
      <selection pane="bottomRight" activeCell="D8" sqref="D8:E8"/>
    </sheetView>
  </sheetViews>
  <sheetFormatPr defaultRowHeight="14.4" x14ac:dyDescent="0.3"/>
  <cols>
    <col min="1" max="1" width="21.88671875" bestFit="1" customWidth="1"/>
    <col min="2" max="2" width="38.33203125" bestFit="1" customWidth="1"/>
    <col min="3" max="3" width="8" customWidth="1"/>
    <col min="4" max="4" width="16" bestFit="1" customWidth="1"/>
    <col min="5" max="6" width="14" customWidth="1"/>
    <col min="7" max="7" width="14.109375" bestFit="1" customWidth="1"/>
    <col min="8" max="8" width="16" customWidth="1"/>
    <col min="9" max="9" width="48" customWidth="1"/>
    <col min="10" max="11" width="15" customWidth="1"/>
    <col min="12" max="14" width="14" customWidth="1"/>
    <col min="15" max="15" width="10" customWidth="1"/>
    <col min="16" max="16" width="16" customWidth="1"/>
    <col min="17" max="17" width="48" customWidth="1"/>
  </cols>
  <sheetData>
    <row r="1" spans="1:17" ht="18.600000000000001" x14ac:dyDescent="0.3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10"/>
      <c r="K1" s="10"/>
      <c r="L1" s="10"/>
      <c r="M1" s="10"/>
      <c r="N1" s="10"/>
      <c r="O1" s="10"/>
      <c r="P1" s="10"/>
      <c r="Q1" s="10"/>
    </row>
    <row r="2" spans="1:17" ht="16.8" x14ac:dyDescent="0.3">
      <c r="A2" s="34" t="s">
        <v>2</v>
      </c>
      <c r="B2" s="31"/>
      <c r="C2" s="31"/>
      <c r="D2" s="31"/>
      <c r="E2" s="31"/>
      <c r="F2" s="31"/>
      <c r="G2" s="31"/>
      <c r="H2" s="31"/>
      <c r="I2" s="31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1" t="s">
        <v>53</v>
      </c>
      <c r="B4" s="26" t="s">
        <v>124</v>
      </c>
      <c r="C4" s="10"/>
      <c r="D4" s="11" t="s">
        <v>17</v>
      </c>
      <c r="E4" s="23" t="str">
        <f>'IDENTITAS SEKOLAH'!B8</f>
        <v>2026/2027</v>
      </c>
      <c r="F4" s="10"/>
      <c r="G4" s="11" t="s">
        <v>19</v>
      </c>
      <c r="H4" s="23" t="str">
        <f>'IDENTITAS SEKOLAH'!B9</f>
        <v>Ganjil</v>
      </c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1" t="s">
        <v>23</v>
      </c>
      <c r="B5" s="37">
        <f>'IDENTITAS SEKOLAH'!B11</f>
        <v>0</v>
      </c>
      <c r="C5" s="31"/>
      <c r="D5" s="11" t="s">
        <v>31</v>
      </c>
      <c r="E5" s="25">
        <f>'FORMAT PENILAIAN'!B5</f>
        <v>75</v>
      </c>
      <c r="F5" s="10"/>
      <c r="G5" s="11" t="s">
        <v>55</v>
      </c>
      <c r="H5" s="24">
        <f>'FORMAT PENILAIAN'!H14</f>
        <v>100</v>
      </c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4" t="s">
        <v>39</v>
      </c>
      <c r="B8" s="4" t="s">
        <v>56</v>
      </c>
      <c r="C8" s="4" t="s">
        <v>57</v>
      </c>
      <c r="D8" s="4" t="s">
        <v>49</v>
      </c>
      <c r="E8" s="4" t="s">
        <v>45</v>
      </c>
      <c r="F8" s="4" t="s">
        <v>58</v>
      </c>
      <c r="G8" s="4" t="s">
        <v>59</v>
      </c>
      <c r="H8" s="4" t="s">
        <v>60</v>
      </c>
      <c r="I8" s="4" t="s">
        <v>61</v>
      </c>
      <c r="J8" s="10"/>
      <c r="K8" s="10"/>
      <c r="L8" s="10"/>
      <c r="M8" s="10"/>
      <c r="N8" s="10"/>
      <c r="O8" s="10"/>
      <c r="P8" s="10"/>
      <c r="Q8" s="10"/>
    </row>
    <row r="9" spans="1:17" ht="19.95" customHeight="1" x14ac:dyDescent="0.3">
      <c r="A9" s="18">
        <v>1</v>
      </c>
      <c r="B9" s="16" t="s">
        <v>125</v>
      </c>
      <c r="C9" s="21" t="s">
        <v>63</v>
      </c>
      <c r="D9" s="17"/>
      <c r="E9" s="17"/>
      <c r="F9" s="19">
        <f>IF(B9="","",IF('FORMAT PENILAIAN'!$H$14&lt;&gt;100,"",ROUND(D9*'FORMAT PENILAIAN'!$C$15/100+E9*'FORMAT PENILAIAN'!$C$16/100,2)))</f>
        <v>0</v>
      </c>
      <c r="G9" s="20" t="str">
        <f>IF(F9="","",IF(F9&gt;='FORMAT PENILAIAN'!$B$8,"A",IF(F9&gt;='FORMAT PENILAIAN'!$B$9,"B",IF(F9&gt;='FORMAT PENILAIAN'!$B$10,"C","D"))))</f>
        <v>D</v>
      </c>
      <c r="H9" s="20" t="str">
        <f>IF(F9="","",IF(F9&gt;='FORMAT PENILAIAN'!$B$5,"Tuntas","Belum Tuntas"))</f>
        <v>Belum Tuntas</v>
      </c>
      <c r="I9" s="20" t="str">
        <f t="shared" ref="I9:I37" si="0">IF(F9="","",IF(G9="A","Penguasaan kompetensi sangat baik.",IF(G9="B","Penguasaan kompetensi baik.",IF(G9="C","Penguasaan kompetensi cukup dan masih perlu penguatan.","Belum mencapai KKM."))))</f>
        <v>Belum mencapai KKM.</v>
      </c>
      <c r="J9" s="10"/>
      <c r="K9" s="10"/>
      <c r="L9" s="10"/>
      <c r="M9" s="10"/>
      <c r="N9" s="10"/>
      <c r="O9" s="10"/>
      <c r="P9" s="10"/>
      <c r="Q9" s="10"/>
    </row>
    <row r="10" spans="1:17" ht="19.95" customHeight="1" x14ac:dyDescent="0.3">
      <c r="A10" s="18">
        <v>2</v>
      </c>
      <c r="B10" s="16" t="s">
        <v>126</v>
      </c>
      <c r="C10" s="21" t="s">
        <v>63</v>
      </c>
      <c r="D10" s="17"/>
      <c r="E10" s="17"/>
      <c r="F10" s="19">
        <f>IF(B10="","",IF('FORMAT PENILAIAN'!$H$14&lt;&gt;100,"",ROUND(D10*'FORMAT PENILAIAN'!$C$15/100+E10*'FORMAT PENILAIAN'!$C$16/100,2)))</f>
        <v>0</v>
      </c>
      <c r="G10" s="20" t="str">
        <f>IF(F10="","",IF(F10&gt;='FORMAT PENILAIAN'!$B$8,"A",IF(F10&gt;='FORMAT PENILAIAN'!$B$9,"B",IF(F10&gt;='FORMAT PENILAIAN'!$B$10,"C","D"))))</f>
        <v>D</v>
      </c>
      <c r="H10" s="20" t="str">
        <f>IF(F10="","",IF(F10&gt;='FORMAT PENILAIAN'!$B$5,"Tuntas","Belum Tuntas"))</f>
        <v>Belum Tuntas</v>
      </c>
      <c r="I10" s="20" t="str">
        <f t="shared" si="0"/>
        <v>Belum mencapai KKM.</v>
      </c>
      <c r="J10" s="10"/>
      <c r="K10" s="10"/>
      <c r="L10" s="10"/>
      <c r="M10" s="10"/>
      <c r="N10" s="10"/>
      <c r="O10" s="10"/>
      <c r="P10" s="10"/>
      <c r="Q10" s="10"/>
    </row>
    <row r="11" spans="1:17" ht="19.95" customHeight="1" x14ac:dyDescent="0.3">
      <c r="A11" s="18">
        <v>3</v>
      </c>
      <c r="B11" s="16" t="s">
        <v>127</v>
      </c>
      <c r="C11" s="21" t="s">
        <v>63</v>
      </c>
      <c r="D11" s="17"/>
      <c r="E11" s="17"/>
      <c r="F11" s="19">
        <f>IF(B11="","",IF('FORMAT PENILAIAN'!$H$14&lt;&gt;100,"",ROUND(D11*'FORMAT PENILAIAN'!$C$15/100+E11*'FORMAT PENILAIAN'!$C$16/100,2)))</f>
        <v>0</v>
      </c>
      <c r="G11" s="20" t="str">
        <f>IF(F11="","",IF(F11&gt;='FORMAT PENILAIAN'!$B$8,"A",IF(F11&gt;='FORMAT PENILAIAN'!$B$9,"B",IF(F11&gt;='FORMAT PENILAIAN'!$B$10,"C","D"))))</f>
        <v>D</v>
      </c>
      <c r="H11" s="20" t="str">
        <f>IF(F11="","",IF(F11&gt;='FORMAT PENILAIAN'!$B$5,"Tuntas","Belum Tuntas"))</f>
        <v>Belum Tuntas</v>
      </c>
      <c r="I11" s="20" t="str">
        <f t="shared" si="0"/>
        <v>Belum mencapai KKM.</v>
      </c>
      <c r="J11" s="10"/>
      <c r="K11" s="10"/>
      <c r="L11" s="10"/>
      <c r="M11" s="10"/>
      <c r="N11" s="10"/>
      <c r="O11" s="10"/>
      <c r="P11" s="10"/>
      <c r="Q11" s="10"/>
    </row>
    <row r="12" spans="1:17" ht="19.95" customHeight="1" x14ac:dyDescent="0.3">
      <c r="A12" s="18">
        <v>4</v>
      </c>
      <c r="B12" s="16" t="s">
        <v>128</v>
      </c>
      <c r="C12" s="21" t="s">
        <v>63</v>
      </c>
      <c r="D12" s="17"/>
      <c r="E12" s="17"/>
      <c r="F12" s="19">
        <f>IF(B12="","",IF('FORMAT PENILAIAN'!$H$14&lt;&gt;100,"",ROUND(D12*'FORMAT PENILAIAN'!$C$15/100+E12*'FORMAT PENILAIAN'!$C$16/100,2)))</f>
        <v>0</v>
      </c>
      <c r="G12" s="20" t="str">
        <f>IF(F12="","",IF(F12&gt;='FORMAT PENILAIAN'!$B$8,"A",IF(F12&gt;='FORMAT PENILAIAN'!$B$9,"B",IF(F12&gt;='FORMAT PENILAIAN'!$B$10,"C","D"))))</f>
        <v>D</v>
      </c>
      <c r="H12" s="20" t="str">
        <f>IF(F12="","",IF(F12&gt;='FORMAT PENILAIAN'!$B$5,"Tuntas","Belum Tuntas"))</f>
        <v>Belum Tuntas</v>
      </c>
      <c r="I12" s="20" t="str">
        <f t="shared" si="0"/>
        <v>Belum mencapai KKM.</v>
      </c>
      <c r="J12" s="10"/>
      <c r="K12" s="10"/>
      <c r="L12" s="10"/>
      <c r="M12" s="10"/>
      <c r="N12" s="10"/>
      <c r="O12" s="10"/>
      <c r="P12" s="10"/>
      <c r="Q12" s="10"/>
    </row>
    <row r="13" spans="1:17" ht="19.95" customHeight="1" x14ac:dyDescent="0.3">
      <c r="A13" s="18">
        <v>5</v>
      </c>
      <c r="B13" s="16" t="s">
        <v>129</v>
      </c>
      <c r="C13" s="21" t="s">
        <v>63</v>
      </c>
      <c r="D13" s="17"/>
      <c r="E13" s="17"/>
      <c r="F13" s="19">
        <f>IF(B13="","",IF('FORMAT PENILAIAN'!$H$14&lt;&gt;100,"",ROUND(D13*'FORMAT PENILAIAN'!$C$15/100+E13*'FORMAT PENILAIAN'!$C$16/100,2)))</f>
        <v>0</v>
      </c>
      <c r="G13" s="20" t="str">
        <f>IF(F13="","",IF(F13&gt;='FORMAT PENILAIAN'!$B$8,"A",IF(F13&gt;='FORMAT PENILAIAN'!$B$9,"B",IF(F13&gt;='FORMAT PENILAIAN'!$B$10,"C","D"))))</f>
        <v>D</v>
      </c>
      <c r="H13" s="20" t="str">
        <f>IF(F13="","",IF(F13&gt;='FORMAT PENILAIAN'!$B$5,"Tuntas","Belum Tuntas"))</f>
        <v>Belum Tuntas</v>
      </c>
      <c r="I13" s="20" t="str">
        <f t="shared" si="0"/>
        <v>Belum mencapai KKM.</v>
      </c>
      <c r="J13" s="10"/>
      <c r="K13" s="10"/>
      <c r="L13" s="10"/>
      <c r="M13" s="10"/>
      <c r="N13" s="10"/>
      <c r="O13" s="10"/>
      <c r="P13" s="10"/>
      <c r="Q13" s="10"/>
    </row>
    <row r="14" spans="1:17" ht="19.95" customHeight="1" x14ac:dyDescent="0.3">
      <c r="A14" s="18">
        <v>6</v>
      </c>
      <c r="B14" s="16" t="s">
        <v>130</v>
      </c>
      <c r="C14" s="21" t="s">
        <v>63</v>
      </c>
      <c r="D14" s="17"/>
      <c r="E14" s="17"/>
      <c r="F14" s="19">
        <f>IF(B14="","",IF('FORMAT PENILAIAN'!$H$14&lt;&gt;100,"",ROUND(D14*'FORMAT PENILAIAN'!$C$15/100+E14*'FORMAT PENILAIAN'!$C$16/100,2)))</f>
        <v>0</v>
      </c>
      <c r="G14" s="20" t="str">
        <f>IF(F14="","",IF(F14&gt;='FORMAT PENILAIAN'!$B$8,"A",IF(F14&gt;='FORMAT PENILAIAN'!$B$9,"B",IF(F14&gt;='FORMAT PENILAIAN'!$B$10,"C","D"))))</f>
        <v>D</v>
      </c>
      <c r="H14" s="20" t="str">
        <f>IF(F14="","",IF(F14&gt;='FORMAT PENILAIAN'!$B$5,"Tuntas","Belum Tuntas"))</f>
        <v>Belum Tuntas</v>
      </c>
      <c r="I14" s="20" t="str">
        <f t="shared" si="0"/>
        <v>Belum mencapai KKM.</v>
      </c>
      <c r="J14" s="10"/>
      <c r="K14" s="10"/>
      <c r="L14" s="10"/>
      <c r="M14" s="10"/>
      <c r="N14" s="10"/>
      <c r="O14" s="10"/>
      <c r="P14" s="10"/>
      <c r="Q14" s="10"/>
    </row>
    <row r="15" spans="1:17" ht="19.95" customHeight="1" x14ac:dyDescent="0.3">
      <c r="A15" s="18">
        <v>7</v>
      </c>
      <c r="B15" s="16" t="s">
        <v>131</v>
      </c>
      <c r="C15" s="21" t="s">
        <v>63</v>
      </c>
      <c r="D15" s="17"/>
      <c r="E15" s="17"/>
      <c r="F15" s="19">
        <f>IF(B15="","",IF('FORMAT PENILAIAN'!$H$14&lt;&gt;100,"",ROUND(D15*'FORMAT PENILAIAN'!$C$15/100+E15*'FORMAT PENILAIAN'!$C$16/100,2)))</f>
        <v>0</v>
      </c>
      <c r="G15" s="20" t="str">
        <f>IF(F15="","",IF(F15&gt;='FORMAT PENILAIAN'!$B$8,"A",IF(F15&gt;='FORMAT PENILAIAN'!$B$9,"B",IF(F15&gt;='FORMAT PENILAIAN'!$B$10,"C","D"))))</f>
        <v>D</v>
      </c>
      <c r="H15" s="20" t="str">
        <f>IF(F15="","",IF(F15&gt;='FORMAT PENILAIAN'!$B$5,"Tuntas","Belum Tuntas"))</f>
        <v>Belum Tuntas</v>
      </c>
      <c r="I15" s="20" t="str">
        <f t="shared" si="0"/>
        <v>Belum mencapai KKM.</v>
      </c>
      <c r="J15" s="10"/>
      <c r="K15" s="10"/>
      <c r="L15" s="10"/>
      <c r="M15" s="10"/>
      <c r="N15" s="10"/>
      <c r="O15" s="10"/>
      <c r="P15" s="10"/>
      <c r="Q15" s="10"/>
    </row>
    <row r="16" spans="1:17" ht="19.95" customHeight="1" x14ac:dyDescent="0.3">
      <c r="A16" s="18">
        <v>8</v>
      </c>
      <c r="B16" s="16" t="s">
        <v>132</v>
      </c>
      <c r="C16" s="21" t="s">
        <v>63</v>
      </c>
      <c r="D16" s="17"/>
      <c r="E16" s="17"/>
      <c r="F16" s="19">
        <f>IF(B16="","",IF('FORMAT PENILAIAN'!$H$14&lt;&gt;100,"",ROUND(D16*'FORMAT PENILAIAN'!$C$15/100+E16*'FORMAT PENILAIAN'!$C$16/100,2)))</f>
        <v>0</v>
      </c>
      <c r="G16" s="20" t="str">
        <f>IF(F16="","",IF(F16&gt;='FORMAT PENILAIAN'!$B$8,"A",IF(F16&gt;='FORMAT PENILAIAN'!$B$9,"B",IF(F16&gt;='FORMAT PENILAIAN'!$B$10,"C","D"))))</f>
        <v>D</v>
      </c>
      <c r="H16" s="20" t="str">
        <f>IF(F16="","",IF(F16&gt;='FORMAT PENILAIAN'!$B$5,"Tuntas","Belum Tuntas"))</f>
        <v>Belum Tuntas</v>
      </c>
      <c r="I16" s="20" t="str">
        <f t="shared" si="0"/>
        <v>Belum mencapai KKM.</v>
      </c>
      <c r="J16" s="10"/>
      <c r="K16" s="10"/>
      <c r="L16" s="10"/>
      <c r="M16" s="10"/>
      <c r="N16" s="10"/>
      <c r="O16" s="10"/>
      <c r="P16" s="10"/>
      <c r="Q16" s="10"/>
    </row>
    <row r="17" spans="1:17" ht="19.95" customHeight="1" x14ac:dyDescent="0.3">
      <c r="A17" s="18">
        <v>9</v>
      </c>
      <c r="B17" s="16" t="s">
        <v>133</v>
      </c>
      <c r="C17" s="21" t="s">
        <v>63</v>
      </c>
      <c r="D17" s="17"/>
      <c r="E17" s="17"/>
      <c r="F17" s="19">
        <f>IF(B17="","",IF('FORMAT PENILAIAN'!$H$14&lt;&gt;100,"",ROUND(D17*'FORMAT PENILAIAN'!$C$15/100+E17*'FORMAT PENILAIAN'!$C$16/100,2)))</f>
        <v>0</v>
      </c>
      <c r="G17" s="20" t="str">
        <f>IF(F17="","",IF(F17&gt;='FORMAT PENILAIAN'!$B$8,"A",IF(F17&gt;='FORMAT PENILAIAN'!$B$9,"B",IF(F17&gt;='FORMAT PENILAIAN'!$B$10,"C","D"))))</f>
        <v>D</v>
      </c>
      <c r="H17" s="20" t="str">
        <f>IF(F17="","",IF(F17&gt;='FORMAT PENILAIAN'!$B$5,"Tuntas","Belum Tuntas"))</f>
        <v>Belum Tuntas</v>
      </c>
      <c r="I17" s="20" t="str">
        <f t="shared" si="0"/>
        <v>Belum mencapai KKM.</v>
      </c>
      <c r="J17" s="10"/>
      <c r="K17" s="10"/>
      <c r="L17" s="10"/>
      <c r="M17" s="10"/>
      <c r="N17" s="10"/>
      <c r="O17" s="10"/>
      <c r="P17" s="10"/>
      <c r="Q17" s="10"/>
    </row>
    <row r="18" spans="1:17" ht="19.95" customHeight="1" x14ac:dyDescent="0.3">
      <c r="A18" s="18">
        <v>10</v>
      </c>
      <c r="B18" s="16" t="s">
        <v>134</v>
      </c>
      <c r="C18" s="21" t="s">
        <v>63</v>
      </c>
      <c r="D18" s="17"/>
      <c r="E18" s="17"/>
      <c r="F18" s="19">
        <f>IF(B18="","",IF('FORMAT PENILAIAN'!$H$14&lt;&gt;100,"",ROUND(D18*'FORMAT PENILAIAN'!$C$15/100+E18*'FORMAT PENILAIAN'!$C$16/100,2)))</f>
        <v>0</v>
      </c>
      <c r="G18" s="20" t="str">
        <f>IF(F18="","",IF(F18&gt;='FORMAT PENILAIAN'!$B$8,"A",IF(F18&gt;='FORMAT PENILAIAN'!$B$9,"B",IF(F18&gt;='FORMAT PENILAIAN'!$B$10,"C","D"))))</f>
        <v>D</v>
      </c>
      <c r="H18" s="20" t="str">
        <f>IF(F18="","",IF(F18&gt;='FORMAT PENILAIAN'!$B$5,"Tuntas","Belum Tuntas"))</f>
        <v>Belum Tuntas</v>
      </c>
      <c r="I18" s="20" t="str">
        <f t="shared" si="0"/>
        <v>Belum mencapai KKM.</v>
      </c>
      <c r="J18" s="10"/>
      <c r="K18" s="10"/>
      <c r="L18" s="10"/>
      <c r="M18" s="10"/>
      <c r="N18" s="10"/>
      <c r="O18" s="10"/>
      <c r="P18" s="10"/>
      <c r="Q18" s="10"/>
    </row>
    <row r="19" spans="1:17" ht="19.95" customHeight="1" x14ac:dyDescent="0.3">
      <c r="A19" s="18">
        <v>11</v>
      </c>
      <c r="B19" s="16" t="s">
        <v>135</v>
      </c>
      <c r="C19" s="21" t="s">
        <v>63</v>
      </c>
      <c r="D19" s="17"/>
      <c r="E19" s="17"/>
      <c r="F19" s="19">
        <f>IF(B19="","",IF('FORMAT PENILAIAN'!$H$14&lt;&gt;100,"",ROUND(D19*'FORMAT PENILAIAN'!$C$15/100+E19*'FORMAT PENILAIAN'!$C$16/100,2)))</f>
        <v>0</v>
      </c>
      <c r="G19" s="20" t="str">
        <f>IF(F19="","",IF(F19&gt;='FORMAT PENILAIAN'!$B$8,"A",IF(F19&gt;='FORMAT PENILAIAN'!$B$9,"B",IF(F19&gt;='FORMAT PENILAIAN'!$B$10,"C","D"))))</f>
        <v>D</v>
      </c>
      <c r="H19" s="20" t="str">
        <f>IF(F19="","",IF(F19&gt;='FORMAT PENILAIAN'!$B$5,"Tuntas","Belum Tuntas"))</f>
        <v>Belum Tuntas</v>
      </c>
      <c r="I19" s="20" t="str">
        <f t="shared" si="0"/>
        <v>Belum mencapai KKM.</v>
      </c>
      <c r="J19" s="10"/>
      <c r="K19" s="10"/>
      <c r="L19" s="10"/>
      <c r="M19" s="10"/>
      <c r="N19" s="10"/>
      <c r="O19" s="10"/>
      <c r="P19" s="10"/>
      <c r="Q19" s="10"/>
    </row>
    <row r="20" spans="1:17" ht="19.95" customHeight="1" x14ac:dyDescent="0.3">
      <c r="A20" s="18">
        <v>12</v>
      </c>
      <c r="B20" s="16" t="s">
        <v>136</v>
      </c>
      <c r="C20" s="21" t="s">
        <v>63</v>
      </c>
      <c r="D20" s="17"/>
      <c r="E20" s="17"/>
      <c r="F20" s="19">
        <f>IF(B20="","",IF('FORMAT PENILAIAN'!$H$14&lt;&gt;100,"",ROUND(D20*'FORMAT PENILAIAN'!$C$15/100+E20*'FORMAT PENILAIAN'!$C$16/100,2)))</f>
        <v>0</v>
      </c>
      <c r="G20" s="20" t="str">
        <f>IF(F20="","",IF(F20&gt;='FORMAT PENILAIAN'!$B$8,"A",IF(F20&gt;='FORMAT PENILAIAN'!$B$9,"B",IF(F20&gt;='FORMAT PENILAIAN'!$B$10,"C","D"))))</f>
        <v>D</v>
      </c>
      <c r="H20" s="20" t="str">
        <f>IF(F20="","",IF(F20&gt;='FORMAT PENILAIAN'!$B$5,"Tuntas","Belum Tuntas"))</f>
        <v>Belum Tuntas</v>
      </c>
      <c r="I20" s="20" t="str">
        <f t="shared" si="0"/>
        <v>Belum mencapai KKM.</v>
      </c>
      <c r="J20" s="10"/>
      <c r="K20" s="10"/>
      <c r="L20" s="10"/>
      <c r="M20" s="10"/>
      <c r="N20" s="10"/>
      <c r="O20" s="10"/>
      <c r="P20" s="10"/>
      <c r="Q20" s="10"/>
    </row>
    <row r="21" spans="1:17" ht="19.95" customHeight="1" x14ac:dyDescent="0.3">
      <c r="A21" s="18">
        <v>13</v>
      </c>
      <c r="B21" s="16" t="s">
        <v>137</v>
      </c>
      <c r="C21" s="21" t="s">
        <v>63</v>
      </c>
      <c r="D21" s="17"/>
      <c r="E21" s="17"/>
      <c r="F21" s="19">
        <f>IF(B21="","",IF('FORMAT PENILAIAN'!$H$14&lt;&gt;100,"",ROUND(D21*'FORMAT PENILAIAN'!$C$15/100+E21*'FORMAT PENILAIAN'!$C$16/100,2)))</f>
        <v>0</v>
      </c>
      <c r="G21" s="20" t="str">
        <f>IF(F21="","",IF(F21&gt;='FORMAT PENILAIAN'!$B$8,"A",IF(F21&gt;='FORMAT PENILAIAN'!$B$9,"B",IF(F21&gt;='FORMAT PENILAIAN'!$B$10,"C","D"))))</f>
        <v>D</v>
      </c>
      <c r="H21" s="20" t="str">
        <f>IF(F21="","",IF(F21&gt;='FORMAT PENILAIAN'!$B$5,"Tuntas","Belum Tuntas"))</f>
        <v>Belum Tuntas</v>
      </c>
      <c r="I21" s="20" t="str">
        <f t="shared" si="0"/>
        <v>Belum mencapai KKM.</v>
      </c>
      <c r="J21" s="10"/>
      <c r="K21" s="10"/>
      <c r="L21" s="10"/>
      <c r="M21" s="10"/>
      <c r="N21" s="10"/>
      <c r="O21" s="10"/>
      <c r="P21" s="10"/>
      <c r="Q21" s="10"/>
    </row>
    <row r="22" spans="1:17" ht="19.95" customHeight="1" x14ac:dyDescent="0.3">
      <c r="A22" s="18">
        <v>14</v>
      </c>
      <c r="B22" s="16" t="s">
        <v>138</v>
      </c>
      <c r="C22" s="21" t="s">
        <v>63</v>
      </c>
      <c r="D22" s="17"/>
      <c r="E22" s="17"/>
      <c r="F22" s="19">
        <f>IF(B22="","",IF('FORMAT PENILAIAN'!$H$14&lt;&gt;100,"",ROUND(D22*'FORMAT PENILAIAN'!$C$15/100+E22*'FORMAT PENILAIAN'!$C$16/100,2)))</f>
        <v>0</v>
      </c>
      <c r="G22" s="20" t="str">
        <f>IF(F22="","",IF(F22&gt;='FORMAT PENILAIAN'!$B$8,"A",IF(F22&gt;='FORMAT PENILAIAN'!$B$9,"B",IF(F22&gt;='FORMAT PENILAIAN'!$B$10,"C","D"))))</f>
        <v>D</v>
      </c>
      <c r="H22" s="20" t="str">
        <f>IF(F22="","",IF(F22&gt;='FORMAT PENILAIAN'!$B$5,"Tuntas","Belum Tuntas"))</f>
        <v>Belum Tuntas</v>
      </c>
      <c r="I22" s="20" t="str">
        <f t="shared" si="0"/>
        <v>Belum mencapai KKM.</v>
      </c>
      <c r="J22" s="10"/>
      <c r="K22" s="10"/>
      <c r="L22" s="10"/>
      <c r="M22" s="10"/>
      <c r="N22" s="10"/>
      <c r="O22" s="10"/>
      <c r="P22" s="10"/>
      <c r="Q22" s="10"/>
    </row>
    <row r="23" spans="1:17" ht="19.95" customHeight="1" x14ac:dyDescent="0.3">
      <c r="A23" s="18">
        <v>15</v>
      </c>
      <c r="B23" s="16" t="s">
        <v>139</v>
      </c>
      <c r="C23" s="21" t="s">
        <v>63</v>
      </c>
      <c r="D23" s="17"/>
      <c r="E23" s="17"/>
      <c r="F23" s="19">
        <f>IF(B23="","",IF('FORMAT PENILAIAN'!$H$14&lt;&gt;100,"",ROUND(D23*'FORMAT PENILAIAN'!$C$15/100+E23*'FORMAT PENILAIAN'!$C$16/100,2)))</f>
        <v>0</v>
      </c>
      <c r="G23" s="20" t="str">
        <f>IF(F23="","",IF(F23&gt;='FORMAT PENILAIAN'!$B$8,"A",IF(F23&gt;='FORMAT PENILAIAN'!$B$9,"B",IF(F23&gt;='FORMAT PENILAIAN'!$B$10,"C","D"))))</f>
        <v>D</v>
      </c>
      <c r="H23" s="20" t="str">
        <f>IF(F23="","",IF(F23&gt;='FORMAT PENILAIAN'!$B$5,"Tuntas","Belum Tuntas"))</f>
        <v>Belum Tuntas</v>
      </c>
      <c r="I23" s="20" t="str">
        <f t="shared" si="0"/>
        <v>Belum mencapai KKM.</v>
      </c>
      <c r="J23" s="10"/>
      <c r="K23" s="10"/>
      <c r="L23" s="10"/>
      <c r="M23" s="10"/>
      <c r="N23" s="10"/>
      <c r="O23" s="10"/>
      <c r="P23" s="10"/>
      <c r="Q23" s="10"/>
    </row>
    <row r="24" spans="1:17" ht="19.95" customHeight="1" x14ac:dyDescent="0.3">
      <c r="A24" s="18">
        <v>16</v>
      </c>
      <c r="B24" s="16" t="s">
        <v>140</v>
      </c>
      <c r="C24" s="21" t="s">
        <v>63</v>
      </c>
      <c r="D24" s="17"/>
      <c r="E24" s="17"/>
      <c r="F24" s="19">
        <f>IF(B24="","",IF('FORMAT PENILAIAN'!$H$14&lt;&gt;100,"",ROUND(D24*'FORMAT PENILAIAN'!$C$15/100+E24*'FORMAT PENILAIAN'!$C$16/100,2)))</f>
        <v>0</v>
      </c>
      <c r="G24" s="20" t="str">
        <f>IF(F24="","",IF(F24&gt;='FORMAT PENILAIAN'!$B$8,"A",IF(F24&gt;='FORMAT PENILAIAN'!$B$9,"B",IF(F24&gt;='FORMAT PENILAIAN'!$B$10,"C","D"))))</f>
        <v>D</v>
      </c>
      <c r="H24" s="20" t="str">
        <f>IF(F24="","",IF(F24&gt;='FORMAT PENILAIAN'!$B$5,"Tuntas","Belum Tuntas"))</f>
        <v>Belum Tuntas</v>
      </c>
      <c r="I24" s="20" t="str">
        <f t="shared" si="0"/>
        <v>Belum mencapai KKM.</v>
      </c>
      <c r="J24" s="10"/>
      <c r="K24" s="10"/>
      <c r="L24" s="10"/>
      <c r="M24" s="10"/>
      <c r="N24" s="10"/>
      <c r="O24" s="10"/>
      <c r="P24" s="10"/>
      <c r="Q24" s="10"/>
    </row>
    <row r="25" spans="1:17" ht="19.95" customHeight="1" x14ac:dyDescent="0.3">
      <c r="A25" s="18">
        <v>17</v>
      </c>
      <c r="B25" s="16" t="s">
        <v>141</v>
      </c>
      <c r="C25" s="21" t="s">
        <v>63</v>
      </c>
      <c r="D25" s="17"/>
      <c r="E25" s="17"/>
      <c r="F25" s="19">
        <f>IF(B25="","",IF('FORMAT PENILAIAN'!$H$14&lt;&gt;100,"",ROUND(D25*'FORMAT PENILAIAN'!$C$15/100+E25*'FORMAT PENILAIAN'!$C$16/100,2)))</f>
        <v>0</v>
      </c>
      <c r="G25" s="20" t="str">
        <f>IF(F25="","",IF(F25&gt;='FORMAT PENILAIAN'!$B$8,"A",IF(F25&gt;='FORMAT PENILAIAN'!$B$9,"B",IF(F25&gt;='FORMAT PENILAIAN'!$B$10,"C","D"))))</f>
        <v>D</v>
      </c>
      <c r="H25" s="20" t="str">
        <f>IF(F25="","",IF(F25&gt;='FORMAT PENILAIAN'!$B$5,"Tuntas","Belum Tuntas"))</f>
        <v>Belum Tuntas</v>
      </c>
      <c r="I25" s="20" t="str">
        <f t="shared" si="0"/>
        <v>Belum mencapai KKM.</v>
      </c>
      <c r="J25" s="10"/>
      <c r="K25" s="10"/>
      <c r="L25" s="10"/>
      <c r="M25" s="10"/>
      <c r="N25" s="10"/>
      <c r="O25" s="10"/>
      <c r="P25" s="10"/>
      <c r="Q25" s="10"/>
    </row>
    <row r="26" spans="1:17" ht="19.95" customHeight="1" x14ac:dyDescent="0.3">
      <c r="A26" s="18">
        <v>18</v>
      </c>
      <c r="B26" s="16" t="s">
        <v>142</v>
      </c>
      <c r="C26" s="21" t="s">
        <v>63</v>
      </c>
      <c r="D26" s="17"/>
      <c r="E26" s="17"/>
      <c r="F26" s="19">
        <f>IF(B26="","",IF('FORMAT PENILAIAN'!$H$14&lt;&gt;100,"",ROUND(D26*'FORMAT PENILAIAN'!$C$15/100+E26*'FORMAT PENILAIAN'!$C$16/100,2)))</f>
        <v>0</v>
      </c>
      <c r="G26" s="20" t="str">
        <f>IF(F26="","",IF(F26&gt;='FORMAT PENILAIAN'!$B$8,"A",IF(F26&gt;='FORMAT PENILAIAN'!$B$9,"B",IF(F26&gt;='FORMAT PENILAIAN'!$B$10,"C","D"))))</f>
        <v>D</v>
      </c>
      <c r="H26" s="20" t="str">
        <f>IF(F26="","",IF(F26&gt;='FORMAT PENILAIAN'!$B$5,"Tuntas","Belum Tuntas"))</f>
        <v>Belum Tuntas</v>
      </c>
      <c r="I26" s="20" t="str">
        <f t="shared" si="0"/>
        <v>Belum mencapai KKM.</v>
      </c>
      <c r="J26" s="10"/>
      <c r="K26" s="10"/>
      <c r="L26" s="10"/>
      <c r="M26" s="10"/>
      <c r="N26" s="10"/>
      <c r="O26" s="10"/>
      <c r="P26" s="10"/>
      <c r="Q26" s="10"/>
    </row>
    <row r="27" spans="1:17" ht="19.95" customHeight="1" x14ac:dyDescent="0.3">
      <c r="A27" s="18">
        <v>19</v>
      </c>
      <c r="B27" s="16" t="s">
        <v>143</v>
      </c>
      <c r="C27" s="21" t="s">
        <v>63</v>
      </c>
      <c r="D27" s="17"/>
      <c r="E27" s="17"/>
      <c r="F27" s="19">
        <f>IF(B27="","",IF('FORMAT PENILAIAN'!$H$14&lt;&gt;100,"",ROUND(D27*'FORMAT PENILAIAN'!$C$15/100+E27*'FORMAT PENILAIAN'!$C$16/100,2)))</f>
        <v>0</v>
      </c>
      <c r="G27" s="20" t="str">
        <f>IF(F27="","",IF(F27&gt;='FORMAT PENILAIAN'!$B$8,"A",IF(F27&gt;='FORMAT PENILAIAN'!$B$9,"B",IF(F27&gt;='FORMAT PENILAIAN'!$B$10,"C","D"))))</f>
        <v>D</v>
      </c>
      <c r="H27" s="20" t="str">
        <f>IF(F27="","",IF(F27&gt;='FORMAT PENILAIAN'!$B$5,"Tuntas","Belum Tuntas"))</f>
        <v>Belum Tuntas</v>
      </c>
      <c r="I27" s="20" t="str">
        <f t="shared" si="0"/>
        <v>Belum mencapai KKM.</v>
      </c>
      <c r="J27" s="10"/>
      <c r="K27" s="10"/>
      <c r="L27" s="10"/>
      <c r="M27" s="10"/>
      <c r="N27" s="10"/>
      <c r="O27" s="10"/>
      <c r="P27" s="10"/>
      <c r="Q27" s="10"/>
    </row>
    <row r="28" spans="1:17" ht="19.95" customHeight="1" x14ac:dyDescent="0.3">
      <c r="A28" s="18">
        <v>20</v>
      </c>
      <c r="B28" s="16" t="s">
        <v>144</v>
      </c>
      <c r="C28" s="21" t="s">
        <v>63</v>
      </c>
      <c r="D28" s="17"/>
      <c r="E28" s="17"/>
      <c r="F28" s="19">
        <f>IF(B28="","",IF('FORMAT PENILAIAN'!$H$14&lt;&gt;100,"",ROUND(D28*'FORMAT PENILAIAN'!$C$15/100+E28*'FORMAT PENILAIAN'!$C$16/100,2)))</f>
        <v>0</v>
      </c>
      <c r="G28" s="20" t="str">
        <f>IF(F28="","",IF(F28&gt;='FORMAT PENILAIAN'!$B$8,"A",IF(F28&gt;='FORMAT PENILAIAN'!$B$9,"B",IF(F28&gt;='FORMAT PENILAIAN'!$B$10,"C","D"))))</f>
        <v>D</v>
      </c>
      <c r="H28" s="20" t="str">
        <f>IF(F28="","",IF(F28&gt;='FORMAT PENILAIAN'!$B$5,"Tuntas","Belum Tuntas"))</f>
        <v>Belum Tuntas</v>
      </c>
      <c r="I28" s="20" t="str">
        <f t="shared" si="0"/>
        <v>Belum mencapai KKM.</v>
      </c>
      <c r="J28" s="10"/>
      <c r="K28" s="10"/>
      <c r="L28" s="10"/>
      <c r="M28" s="10"/>
      <c r="N28" s="10"/>
      <c r="O28" s="10"/>
      <c r="P28" s="10"/>
      <c r="Q28" s="10"/>
    </row>
    <row r="29" spans="1:17" ht="19.95" customHeight="1" x14ac:dyDescent="0.3">
      <c r="A29" s="18">
        <v>21</v>
      </c>
      <c r="B29" s="16" t="s">
        <v>145</v>
      </c>
      <c r="C29" s="21" t="s">
        <v>63</v>
      </c>
      <c r="D29" s="17"/>
      <c r="E29" s="17"/>
      <c r="F29" s="19">
        <f>IF(B29="","",IF('FORMAT PENILAIAN'!$H$14&lt;&gt;100,"",ROUND(D29*'FORMAT PENILAIAN'!$C$15/100+E29*'FORMAT PENILAIAN'!$C$16/100,2)))</f>
        <v>0</v>
      </c>
      <c r="G29" s="20" t="str">
        <f>IF(F29="","",IF(F29&gt;='FORMAT PENILAIAN'!$B$8,"A",IF(F29&gt;='FORMAT PENILAIAN'!$B$9,"B",IF(F29&gt;='FORMAT PENILAIAN'!$B$10,"C","D"))))</f>
        <v>D</v>
      </c>
      <c r="H29" s="20" t="str">
        <f>IF(F29="","",IF(F29&gt;='FORMAT PENILAIAN'!$B$5,"Tuntas","Belum Tuntas"))</f>
        <v>Belum Tuntas</v>
      </c>
      <c r="I29" s="20" t="str">
        <f t="shared" si="0"/>
        <v>Belum mencapai KKM.</v>
      </c>
      <c r="J29" s="10"/>
      <c r="K29" s="10"/>
      <c r="L29" s="10"/>
      <c r="M29" s="10"/>
      <c r="N29" s="10"/>
      <c r="O29" s="10"/>
      <c r="P29" s="10"/>
      <c r="Q29" s="10"/>
    </row>
    <row r="30" spans="1:17" ht="19.95" customHeight="1" x14ac:dyDescent="0.3">
      <c r="A30" s="18">
        <v>22</v>
      </c>
      <c r="B30" s="16" t="s">
        <v>146</v>
      </c>
      <c r="C30" s="21" t="s">
        <v>63</v>
      </c>
      <c r="D30" s="17"/>
      <c r="E30" s="17"/>
      <c r="F30" s="19">
        <f>IF(B30="","",IF('FORMAT PENILAIAN'!$H$14&lt;&gt;100,"",ROUND(D30*'FORMAT PENILAIAN'!$C$15/100+E30*'FORMAT PENILAIAN'!$C$16/100,2)))</f>
        <v>0</v>
      </c>
      <c r="G30" s="20" t="str">
        <f>IF(F30="","",IF(F30&gt;='FORMAT PENILAIAN'!$B$8,"A",IF(F30&gt;='FORMAT PENILAIAN'!$B$9,"B",IF(F30&gt;='FORMAT PENILAIAN'!$B$10,"C","D"))))</f>
        <v>D</v>
      </c>
      <c r="H30" s="20" t="str">
        <f>IF(F30="","",IF(F30&gt;='FORMAT PENILAIAN'!$B$5,"Tuntas","Belum Tuntas"))</f>
        <v>Belum Tuntas</v>
      </c>
      <c r="I30" s="20" t="str">
        <f t="shared" si="0"/>
        <v>Belum mencapai KKM.</v>
      </c>
      <c r="J30" s="10"/>
      <c r="K30" s="10"/>
      <c r="L30" s="10"/>
      <c r="M30" s="10"/>
      <c r="N30" s="10"/>
      <c r="O30" s="10"/>
      <c r="P30" s="10"/>
      <c r="Q30" s="10"/>
    </row>
    <row r="31" spans="1:17" ht="19.95" customHeight="1" x14ac:dyDescent="0.3">
      <c r="A31" s="18">
        <v>23</v>
      </c>
      <c r="B31" s="16" t="s">
        <v>147</v>
      </c>
      <c r="C31" s="21" t="s">
        <v>63</v>
      </c>
      <c r="D31" s="17"/>
      <c r="E31" s="17"/>
      <c r="F31" s="19">
        <f>IF(B31="","",IF('FORMAT PENILAIAN'!$H$14&lt;&gt;100,"",ROUND(D31*'FORMAT PENILAIAN'!$C$15/100+E31*'FORMAT PENILAIAN'!$C$16/100,2)))</f>
        <v>0</v>
      </c>
      <c r="G31" s="20" t="str">
        <f>IF(F31="","",IF(F31&gt;='FORMAT PENILAIAN'!$B$8,"A",IF(F31&gt;='FORMAT PENILAIAN'!$B$9,"B",IF(F31&gt;='FORMAT PENILAIAN'!$B$10,"C","D"))))</f>
        <v>D</v>
      </c>
      <c r="H31" s="20" t="str">
        <f>IF(F31="","",IF(F31&gt;='FORMAT PENILAIAN'!$B$5,"Tuntas","Belum Tuntas"))</f>
        <v>Belum Tuntas</v>
      </c>
      <c r="I31" s="20" t="str">
        <f t="shared" si="0"/>
        <v>Belum mencapai KKM.</v>
      </c>
      <c r="J31" s="10"/>
      <c r="K31" s="10"/>
      <c r="L31" s="10"/>
      <c r="M31" s="10"/>
      <c r="N31" s="10"/>
      <c r="O31" s="10"/>
      <c r="P31" s="10"/>
      <c r="Q31" s="10"/>
    </row>
    <row r="32" spans="1:17" ht="19.95" customHeight="1" x14ac:dyDescent="0.3">
      <c r="A32" s="18">
        <v>24</v>
      </c>
      <c r="B32" s="16" t="s">
        <v>148</v>
      </c>
      <c r="C32" s="21" t="s">
        <v>63</v>
      </c>
      <c r="D32" s="17"/>
      <c r="E32" s="17"/>
      <c r="F32" s="19">
        <f>IF(B32="","",IF('FORMAT PENILAIAN'!$H$14&lt;&gt;100,"",ROUND(D32*'FORMAT PENILAIAN'!$C$15/100+E32*'FORMAT PENILAIAN'!$C$16/100,2)))</f>
        <v>0</v>
      </c>
      <c r="G32" s="20" t="str">
        <f>IF(F32="","",IF(F32&gt;='FORMAT PENILAIAN'!$B$8,"A",IF(F32&gt;='FORMAT PENILAIAN'!$B$9,"B",IF(F32&gt;='FORMAT PENILAIAN'!$B$10,"C","D"))))</f>
        <v>D</v>
      </c>
      <c r="H32" s="20" t="str">
        <f>IF(F32="","",IF(F32&gt;='FORMAT PENILAIAN'!$B$5,"Tuntas","Belum Tuntas"))</f>
        <v>Belum Tuntas</v>
      </c>
      <c r="I32" s="20" t="str">
        <f t="shared" si="0"/>
        <v>Belum mencapai KKM.</v>
      </c>
      <c r="J32" s="10"/>
      <c r="K32" s="10"/>
      <c r="L32" s="10"/>
      <c r="M32" s="10"/>
      <c r="N32" s="10"/>
      <c r="O32" s="10"/>
      <c r="P32" s="10"/>
      <c r="Q32" s="10"/>
    </row>
    <row r="33" spans="1:17" ht="19.95" customHeight="1" x14ac:dyDescent="0.3">
      <c r="A33" s="18">
        <v>25</v>
      </c>
      <c r="B33" s="16" t="s">
        <v>149</v>
      </c>
      <c r="C33" s="21" t="s">
        <v>63</v>
      </c>
      <c r="D33" s="17"/>
      <c r="E33" s="17"/>
      <c r="F33" s="19">
        <f>IF(B33="","",IF('FORMAT PENILAIAN'!$H$14&lt;&gt;100,"",ROUND(D33*'FORMAT PENILAIAN'!$C$15/100+E33*'FORMAT PENILAIAN'!$C$16/100,2)))</f>
        <v>0</v>
      </c>
      <c r="G33" s="20" t="str">
        <f>IF(F33="","",IF(F33&gt;='FORMAT PENILAIAN'!$B$8,"A",IF(F33&gt;='FORMAT PENILAIAN'!$B$9,"B",IF(F33&gt;='FORMAT PENILAIAN'!$B$10,"C","D"))))</f>
        <v>D</v>
      </c>
      <c r="H33" s="20" t="str">
        <f>IF(F33="","",IF(F33&gt;='FORMAT PENILAIAN'!$B$5,"Tuntas","Belum Tuntas"))</f>
        <v>Belum Tuntas</v>
      </c>
      <c r="I33" s="20" t="str">
        <f t="shared" si="0"/>
        <v>Belum mencapai KKM.</v>
      </c>
      <c r="J33" s="10"/>
      <c r="K33" s="10"/>
      <c r="L33" s="10"/>
      <c r="M33" s="10"/>
      <c r="N33" s="10"/>
      <c r="O33" s="10"/>
      <c r="P33" s="10"/>
      <c r="Q33" s="10"/>
    </row>
    <row r="34" spans="1:17" ht="19.95" customHeight="1" x14ac:dyDescent="0.3">
      <c r="A34" s="18">
        <v>26</v>
      </c>
      <c r="B34" s="16" t="s">
        <v>150</v>
      </c>
      <c r="C34" s="21" t="s">
        <v>63</v>
      </c>
      <c r="D34" s="17"/>
      <c r="E34" s="17"/>
      <c r="F34" s="19">
        <f>IF(B34="","",IF('FORMAT PENILAIAN'!$H$14&lt;&gt;100,"",ROUND(D34*'FORMAT PENILAIAN'!$C$15/100+E34*'FORMAT PENILAIAN'!$C$16/100,2)))</f>
        <v>0</v>
      </c>
      <c r="G34" s="20" t="str">
        <f>IF(F34="","",IF(F34&gt;='FORMAT PENILAIAN'!$B$8,"A",IF(F34&gt;='FORMAT PENILAIAN'!$B$9,"B",IF(F34&gt;='FORMAT PENILAIAN'!$B$10,"C","D"))))</f>
        <v>D</v>
      </c>
      <c r="H34" s="20" t="str">
        <f>IF(F34="","",IF(F34&gt;='FORMAT PENILAIAN'!$B$5,"Tuntas","Belum Tuntas"))</f>
        <v>Belum Tuntas</v>
      </c>
      <c r="I34" s="20" t="str">
        <f t="shared" si="0"/>
        <v>Belum mencapai KKM.</v>
      </c>
      <c r="J34" s="10"/>
      <c r="K34" s="10"/>
      <c r="L34" s="10"/>
      <c r="M34" s="10"/>
      <c r="N34" s="10"/>
      <c r="O34" s="10"/>
      <c r="P34" s="10"/>
      <c r="Q34" s="10"/>
    </row>
    <row r="35" spans="1:17" ht="19.95" customHeight="1" x14ac:dyDescent="0.3">
      <c r="A35" s="18">
        <v>27</v>
      </c>
      <c r="B35" s="16" t="s">
        <v>151</v>
      </c>
      <c r="C35" s="21" t="s">
        <v>63</v>
      </c>
      <c r="D35" s="17"/>
      <c r="E35" s="17"/>
      <c r="F35" s="19">
        <f>IF(B35="","",IF('FORMAT PENILAIAN'!$H$14&lt;&gt;100,"",ROUND(D35*'FORMAT PENILAIAN'!$C$15/100+E35*'FORMAT PENILAIAN'!$C$16/100,2)))</f>
        <v>0</v>
      </c>
      <c r="G35" s="20" t="str">
        <f>IF(F35="","",IF(F35&gt;='FORMAT PENILAIAN'!$B$8,"A",IF(F35&gt;='FORMAT PENILAIAN'!$B$9,"B",IF(F35&gt;='FORMAT PENILAIAN'!$B$10,"C","D"))))</f>
        <v>D</v>
      </c>
      <c r="H35" s="20" t="str">
        <f>IF(F35="","",IF(F35&gt;='FORMAT PENILAIAN'!$B$5,"Tuntas","Belum Tuntas"))</f>
        <v>Belum Tuntas</v>
      </c>
      <c r="I35" s="20" t="str">
        <f t="shared" si="0"/>
        <v>Belum mencapai KKM.</v>
      </c>
      <c r="J35" s="10"/>
      <c r="K35" s="10"/>
      <c r="L35" s="10"/>
      <c r="M35" s="10"/>
      <c r="N35" s="10"/>
      <c r="O35" s="10"/>
      <c r="P35" s="10"/>
      <c r="Q35" s="10"/>
    </row>
    <row r="36" spans="1:17" ht="19.95" customHeight="1" x14ac:dyDescent="0.3">
      <c r="A36" s="18">
        <v>28</v>
      </c>
      <c r="B36" s="16" t="s">
        <v>152</v>
      </c>
      <c r="C36" s="21" t="s">
        <v>63</v>
      </c>
      <c r="D36" s="17"/>
      <c r="E36" s="17"/>
      <c r="F36" s="19">
        <f>IF(B36="","",IF('FORMAT PENILAIAN'!$H$14&lt;&gt;100,"",ROUND(D36*'FORMAT PENILAIAN'!$C$15/100+E36*'FORMAT PENILAIAN'!$C$16/100,2)))</f>
        <v>0</v>
      </c>
      <c r="G36" s="20" t="str">
        <f>IF(F36="","",IF(F36&gt;='FORMAT PENILAIAN'!$B$8,"A",IF(F36&gt;='FORMAT PENILAIAN'!$B$9,"B",IF(F36&gt;='FORMAT PENILAIAN'!$B$10,"C","D"))))</f>
        <v>D</v>
      </c>
      <c r="H36" s="20" t="str">
        <f>IF(F36="","",IF(F36&gt;='FORMAT PENILAIAN'!$B$5,"Tuntas","Belum Tuntas"))</f>
        <v>Belum Tuntas</v>
      </c>
      <c r="I36" s="20" t="str">
        <f t="shared" si="0"/>
        <v>Belum mencapai KKM.</v>
      </c>
      <c r="J36" s="10"/>
      <c r="K36" s="10"/>
      <c r="L36" s="10"/>
      <c r="M36" s="10"/>
      <c r="N36" s="10"/>
      <c r="O36" s="10"/>
      <c r="P36" s="10"/>
      <c r="Q36" s="10"/>
    </row>
    <row r="37" spans="1:17" ht="19.95" customHeight="1" x14ac:dyDescent="0.3">
      <c r="A37" s="18">
        <v>29</v>
      </c>
      <c r="B37" s="16" t="s">
        <v>153</v>
      </c>
      <c r="C37" s="21" t="s">
        <v>63</v>
      </c>
      <c r="D37" s="17"/>
      <c r="E37" s="17"/>
      <c r="F37" s="19">
        <f>IF(B37="","",IF('FORMAT PENILAIAN'!$H$14&lt;&gt;100,"",ROUND(D37*'FORMAT PENILAIAN'!$C$15/100+E37*'FORMAT PENILAIAN'!$C$16/100,2)))</f>
        <v>0</v>
      </c>
      <c r="G37" s="20" t="str">
        <f>IF(F37="","",IF(F37&gt;='FORMAT PENILAIAN'!$B$8,"A",IF(F37&gt;='FORMAT PENILAIAN'!$B$9,"B",IF(F37&gt;='FORMAT PENILAIAN'!$B$10,"C","D"))))</f>
        <v>D</v>
      </c>
      <c r="H37" s="20" t="str">
        <f>IF(F37="","",IF(F37&gt;='FORMAT PENILAIAN'!$B$5,"Tuntas","Belum Tuntas"))</f>
        <v>Belum Tuntas</v>
      </c>
      <c r="I37" s="20" t="str">
        <f t="shared" si="0"/>
        <v>Belum mencapai KKM.</v>
      </c>
      <c r="J37" s="10"/>
      <c r="K37" s="10"/>
      <c r="L37" s="10"/>
      <c r="M37" s="10"/>
      <c r="N37" s="10"/>
      <c r="O37" s="10"/>
      <c r="P37" s="10"/>
      <c r="Q37" s="10"/>
    </row>
    <row r="38" spans="1:17" ht="19.9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ht="19.9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9.95" customHeight="1" x14ac:dyDescent="0.3">
      <c r="A40" s="35" t="s">
        <v>95</v>
      </c>
      <c r="B40" s="36"/>
      <c r="C40" s="36"/>
      <c r="D40" s="36"/>
      <c r="E40" s="36"/>
      <c r="F40" s="36"/>
      <c r="G40" s="36"/>
      <c r="H40" s="36"/>
      <c r="I40" s="36"/>
      <c r="J40" s="10"/>
      <c r="K40" s="10"/>
      <c r="L40" s="10"/>
      <c r="M40" s="10"/>
      <c r="N40" s="10"/>
      <c r="O40" s="10"/>
      <c r="P40" s="10"/>
      <c r="Q40" s="10"/>
    </row>
    <row r="41" spans="1:17" ht="19.95" customHeight="1" x14ac:dyDescent="0.3">
      <c r="A41" s="11" t="s">
        <v>96</v>
      </c>
      <c r="B41" s="32">
        <f>COUNTIF(B9:B37,"&lt;&gt;")</f>
        <v>29</v>
      </c>
      <c r="C41" s="31"/>
      <c r="D41" s="10"/>
      <c r="E41" s="29" t="s">
        <v>59</v>
      </c>
      <c r="F41" s="29" t="s">
        <v>97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19.95" customHeight="1" x14ac:dyDescent="0.3">
      <c r="A42" s="11" t="s">
        <v>98</v>
      </c>
      <c r="B42" s="32">
        <f>COUNTIF(H9:H37,"Tuntas")</f>
        <v>0</v>
      </c>
      <c r="C42" s="31"/>
      <c r="D42" s="10"/>
      <c r="E42" s="22" t="s">
        <v>99</v>
      </c>
      <c r="F42" s="22">
        <f>COUNTIF(G9:G37,E42)</f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19.95" customHeight="1" x14ac:dyDescent="0.3">
      <c r="A43" s="11" t="s">
        <v>100</v>
      </c>
      <c r="B43" s="32">
        <f>COUNTIF(H9:H37,"Belum Tuntas")</f>
        <v>29</v>
      </c>
      <c r="C43" s="31"/>
      <c r="D43" s="10"/>
      <c r="E43" s="22" t="s">
        <v>101</v>
      </c>
      <c r="F43" s="22">
        <f>COUNTIF(G9:G37,E43)</f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9.95" customHeight="1" x14ac:dyDescent="0.3">
      <c r="A44" s="11" t="s">
        <v>102</v>
      </c>
      <c r="B44" s="33">
        <f>IF(B41=0,0,B42/B41)</f>
        <v>0</v>
      </c>
      <c r="C44" s="31"/>
      <c r="D44" s="10"/>
      <c r="E44" s="22" t="s">
        <v>103</v>
      </c>
      <c r="F44" s="22">
        <f>COUNTIF(G9:G37,E44)</f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19.95" customHeight="1" x14ac:dyDescent="0.3">
      <c r="A45" s="11" t="s">
        <v>104</v>
      </c>
      <c r="B45" s="32">
        <f>IFERROR(AVERAGE(F9:F37),0)</f>
        <v>0</v>
      </c>
      <c r="C45" s="31"/>
      <c r="D45" s="10"/>
      <c r="E45" s="22" t="s">
        <v>105</v>
      </c>
      <c r="F45" s="22">
        <f>COUNTIF(G9:G37,E45)</f>
        <v>29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t="19.95" customHeight="1" x14ac:dyDescent="0.3">
      <c r="A46" s="11" t="s">
        <v>106</v>
      </c>
      <c r="B46" s="32">
        <f>IFERROR(MAX(F9:F37),0)</f>
        <v>0</v>
      </c>
      <c r="C46" s="3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19.95" customHeight="1" x14ac:dyDescent="0.3">
      <c r="A47" s="11" t="s">
        <v>107</v>
      </c>
      <c r="B47" s="32">
        <f ca="1">IFERROR(_xludf.MINIFS(F9:F37,F9:F37,"&gt;0"),0)</f>
        <v>0</v>
      </c>
      <c r="C47" s="3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19.9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x14ac:dyDescent="0.3">
      <c r="J50" s="10"/>
      <c r="K50" s="10"/>
      <c r="L50" s="10"/>
      <c r="M50" s="10"/>
      <c r="N50" s="10"/>
      <c r="O50" s="10"/>
      <c r="P50" s="10"/>
      <c r="Q50" s="10"/>
    </row>
    <row r="51" spans="1:17" x14ac:dyDescent="0.3">
      <c r="J51" s="10"/>
      <c r="K51" s="10"/>
      <c r="L51" s="10"/>
      <c r="M51" s="10"/>
      <c r="N51" s="10"/>
      <c r="O51" s="10"/>
      <c r="P51" s="10"/>
      <c r="Q51" s="10"/>
    </row>
    <row r="52" spans="1:17" x14ac:dyDescent="0.3">
      <c r="J52" s="10"/>
      <c r="K52" s="10"/>
      <c r="L52" s="10"/>
      <c r="M52" s="10"/>
      <c r="N52" s="10"/>
      <c r="O52" s="10"/>
      <c r="P52" s="10"/>
      <c r="Q52" s="10"/>
    </row>
    <row r="53" spans="1:17" x14ac:dyDescent="0.3">
      <c r="J53" s="10"/>
      <c r="K53" s="10"/>
      <c r="L53" s="10"/>
      <c r="M53" s="10"/>
      <c r="N53" s="10"/>
      <c r="O53" s="10"/>
      <c r="P53" s="10"/>
      <c r="Q53" s="10"/>
    </row>
    <row r="54" spans="1:17" x14ac:dyDescent="0.3">
      <c r="J54" s="10"/>
      <c r="K54" s="10"/>
      <c r="L54" s="10"/>
      <c r="M54" s="10"/>
      <c r="N54" s="10"/>
      <c r="O54" s="10"/>
      <c r="P54" s="10"/>
      <c r="Q54" s="10"/>
    </row>
    <row r="55" spans="1:17" x14ac:dyDescent="0.3">
      <c r="J55" s="10"/>
      <c r="K55" s="10"/>
      <c r="L55" s="10"/>
      <c r="M55" s="10"/>
      <c r="N55" s="10"/>
      <c r="O55" s="10"/>
      <c r="P55" s="10"/>
      <c r="Q55" s="10"/>
    </row>
    <row r="56" spans="1:17" x14ac:dyDescent="0.3">
      <c r="J56" s="10"/>
      <c r="K56" s="10"/>
      <c r="L56" s="10"/>
      <c r="M56" s="10"/>
      <c r="N56" s="10"/>
      <c r="O56" s="10"/>
      <c r="P56" s="10"/>
      <c r="Q56" s="10"/>
    </row>
    <row r="57" spans="1:17" x14ac:dyDescent="0.3">
      <c r="J57" s="10"/>
      <c r="K57" s="10"/>
      <c r="L57" s="10"/>
      <c r="M57" s="10"/>
      <c r="N57" s="10"/>
      <c r="O57" s="10"/>
      <c r="P57" s="10"/>
      <c r="Q57" s="10"/>
    </row>
    <row r="58" spans="1:17" x14ac:dyDescent="0.3">
      <c r="J58" s="10"/>
      <c r="K58" s="10"/>
      <c r="L58" s="10"/>
      <c r="M58" s="10"/>
      <c r="N58" s="10"/>
      <c r="O58" s="10"/>
      <c r="P58" s="10"/>
      <c r="Q58" s="10"/>
    </row>
    <row r="59" spans="1:17" x14ac:dyDescent="0.3">
      <c r="J59" s="10"/>
      <c r="K59" s="10"/>
      <c r="L59" s="10"/>
      <c r="M59" s="10"/>
      <c r="N59" s="10"/>
      <c r="O59" s="10"/>
      <c r="P59" s="10"/>
      <c r="Q59" s="10"/>
    </row>
    <row r="60" spans="1:17" x14ac:dyDescent="0.3">
      <c r="J60" s="10"/>
      <c r="K60" s="10"/>
      <c r="L60" s="10"/>
      <c r="M60" s="10"/>
      <c r="N60" s="10"/>
      <c r="O60" s="10"/>
      <c r="P60" s="10"/>
      <c r="Q60" s="10"/>
    </row>
  </sheetData>
  <autoFilter ref="A8:I37" xr:uid="{00000000-0009-0000-0000-000004000000}"/>
  <mergeCells count="11">
    <mergeCell ref="A1:I1"/>
    <mergeCell ref="B46:C46"/>
    <mergeCell ref="B45:C45"/>
    <mergeCell ref="B42:C42"/>
    <mergeCell ref="B47:C47"/>
    <mergeCell ref="B44:C44"/>
    <mergeCell ref="B41:C41"/>
    <mergeCell ref="B43:C43"/>
    <mergeCell ref="A2:I2"/>
    <mergeCell ref="A40:I40"/>
    <mergeCell ref="B5:C5"/>
  </mergeCells>
  <conditionalFormatting sqref="H9:H37">
    <cfRule type="cellIs" dxfId="7" priority="1" operator="equal">
      <formula>"Tuntas"</formula>
    </cfRule>
    <cfRule type="cellIs" dxfId="6" priority="2" operator="equal">
      <formula>"Belum Tuntas"</formula>
    </cfRule>
  </conditionalFormatting>
  <dataValidations count="1">
    <dataValidation type="list" allowBlank="1" sqref="C9:C37" xr:uid="{00000000-0002-0000-0400-000000000000}">
      <formula1>"L,P"</formula1>
    </dataValidation>
  </dataValidation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xr:uid="{00000000-0002-0000-0400-000001000000}">
          <x14:formula1>
            <xm:f>0</xm:f>
          </x14:formula1>
          <x14:formula2>
            <xm:f>'FORMAT PENILAIAN'!$B$6</xm:f>
          </x14:formula2>
          <xm:sqref>D9:K48 M9:M48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60"/>
  <sheetViews>
    <sheetView showGridLines="0" zoomScale="90" workbookViewId="0">
      <pane xSplit="3" ySplit="8" topLeftCell="D26" activePane="bottomRight" state="frozen"/>
      <selection pane="topRight"/>
      <selection pane="bottomLeft"/>
      <selection pane="bottomRight" activeCell="E32" sqref="E32:F36"/>
    </sheetView>
  </sheetViews>
  <sheetFormatPr defaultRowHeight="14.4" x14ac:dyDescent="0.3"/>
  <cols>
    <col min="1" max="1" width="21.88671875" bestFit="1" customWidth="1"/>
    <col min="2" max="2" width="34" customWidth="1"/>
    <col min="3" max="3" width="8" customWidth="1"/>
    <col min="4" max="4" width="16" bestFit="1" customWidth="1"/>
    <col min="5" max="6" width="14" customWidth="1"/>
    <col min="7" max="7" width="14.109375" bestFit="1" customWidth="1"/>
    <col min="8" max="8" width="16" customWidth="1"/>
    <col min="9" max="9" width="48" customWidth="1"/>
    <col min="10" max="11" width="15" customWidth="1"/>
    <col min="12" max="14" width="14" customWidth="1"/>
    <col min="15" max="15" width="10" customWidth="1"/>
    <col min="16" max="16" width="16" customWidth="1"/>
    <col min="17" max="17" width="48" customWidth="1"/>
  </cols>
  <sheetData>
    <row r="1" spans="1:17" ht="18.600000000000001" x14ac:dyDescent="0.3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10"/>
      <c r="K1" s="10"/>
      <c r="L1" s="10"/>
      <c r="M1" s="10"/>
      <c r="N1" s="10"/>
      <c r="O1" s="10"/>
      <c r="P1" s="10"/>
      <c r="Q1" s="10"/>
    </row>
    <row r="2" spans="1:17" ht="16.8" x14ac:dyDescent="0.3">
      <c r="A2" s="34" t="s">
        <v>2</v>
      </c>
      <c r="B2" s="31"/>
      <c r="C2" s="31"/>
      <c r="D2" s="31"/>
      <c r="E2" s="31"/>
      <c r="F2" s="31"/>
      <c r="G2" s="31"/>
      <c r="H2" s="31"/>
      <c r="I2" s="31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1" t="s">
        <v>53</v>
      </c>
      <c r="B4" s="12" t="s">
        <v>154</v>
      </c>
      <c r="C4" s="10"/>
      <c r="D4" s="11" t="s">
        <v>17</v>
      </c>
      <c r="E4" s="23" t="str">
        <f>'IDENTITAS SEKOLAH'!B8</f>
        <v>2026/2027</v>
      </c>
      <c r="F4" s="10"/>
      <c r="G4" s="11" t="s">
        <v>19</v>
      </c>
      <c r="H4" s="23" t="str">
        <f>'IDENTITAS SEKOLAH'!B9</f>
        <v>Ganjil</v>
      </c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1" t="s">
        <v>23</v>
      </c>
      <c r="B5" s="37">
        <f>'IDENTITAS SEKOLAH'!B11</f>
        <v>0</v>
      </c>
      <c r="C5" s="31"/>
      <c r="D5" s="11" t="s">
        <v>31</v>
      </c>
      <c r="E5" s="25">
        <f>'FORMAT PENILAIAN'!B5</f>
        <v>75</v>
      </c>
      <c r="F5" s="10"/>
      <c r="G5" s="11" t="s">
        <v>55</v>
      </c>
      <c r="H5" s="24">
        <f>'FORMAT PENILAIAN'!H14</f>
        <v>100</v>
      </c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4" t="s">
        <v>39</v>
      </c>
      <c r="B8" s="4" t="s">
        <v>56</v>
      </c>
      <c r="C8" s="4" t="s">
        <v>57</v>
      </c>
      <c r="D8" s="4" t="s">
        <v>49</v>
      </c>
      <c r="E8" s="4" t="s">
        <v>45</v>
      </c>
      <c r="F8" s="4" t="s">
        <v>58</v>
      </c>
      <c r="G8" s="4" t="s">
        <v>59</v>
      </c>
      <c r="H8" s="4" t="s">
        <v>60</v>
      </c>
      <c r="I8" s="4" t="s">
        <v>61</v>
      </c>
      <c r="J8" s="10"/>
      <c r="K8" s="10"/>
      <c r="L8" s="10"/>
      <c r="M8" s="10"/>
      <c r="N8" s="10"/>
      <c r="O8" s="10"/>
      <c r="P8" s="10"/>
      <c r="Q8" s="10"/>
    </row>
    <row r="9" spans="1:17" ht="19.95" customHeight="1" x14ac:dyDescent="0.3">
      <c r="A9" s="18">
        <v>1</v>
      </c>
      <c r="B9" s="16" t="s">
        <v>155</v>
      </c>
      <c r="C9" s="21" t="s">
        <v>77</v>
      </c>
      <c r="D9" s="17"/>
      <c r="E9" s="17"/>
      <c r="F9" s="19">
        <f>IF(B9="","",IF('FORMAT PENILAIAN'!$H$14&lt;&gt;100,"",ROUND(D9*'FORMAT PENILAIAN'!$C$15/100+E9*'FORMAT PENILAIAN'!$C$16/100,2)))</f>
        <v>0</v>
      </c>
      <c r="G9" s="20" t="str">
        <f>IF(F9="","",IF(F9&gt;='FORMAT PENILAIAN'!$B$8,"A",IF(F9&gt;='FORMAT PENILAIAN'!$B$9,"B",IF(F9&gt;='FORMAT PENILAIAN'!$B$10,"C","D"))))</f>
        <v>D</v>
      </c>
      <c r="H9" s="20" t="str">
        <f>IF(F9="","",IF(F9&gt;='FORMAT PENILAIAN'!$B$5,"Tuntas","Belum Tuntas"))</f>
        <v>Belum Tuntas</v>
      </c>
      <c r="I9" s="20" t="str">
        <f t="shared" ref="I9:I28" si="0">IF(F9="","",IF(G9="A","Penguasaan kompetensi sangat baik.",IF(G9="B","Penguasaan kompetensi baik.",IF(G9="C","Penguasaan kompetensi cukup dan masih perlu penguatan.","Belum mencapai KKM."))))</f>
        <v>Belum mencapai KKM.</v>
      </c>
      <c r="J9" s="10"/>
      <c r="K9" s="10"/>
      <c r="L9" s="10"/>
      <c r="M9" s="10"/>
      <c r="N9" s="10"/>
      <c r="O9" s="10"/>
      <c r="P9" s="10"/>
      <c r="Q9" s="10"/>
    </row>
    <row r="10" spans="1:17" ht="19.95" customHeight="1" x14ac:dyDescent="0.3">
      <c r="A10" s="18">
        <v>2</v>
      </c>
      <c r="B10" s="16" t="s">
        <v>156</v>
      </c>
      <c r="C10" s="21" t="s">
        <v>77</v>
      </c>
      <c r="D10" s="17"/>
      <c r="E10" s="17"/>
      <c r="F10" s="19">
        <f>IF(B10="","",IF('FORMAT PENILAIAN'!$H$14&lt;&gt;100,"",ROUND(D10*'FORMAT PENILAIAN'!$C$15/100+E10*'FORMAT PENILAIAN'!$C$16/100,2)))</f>
        <v>0</v>
      </c>
      <c r="G10" s="20" t="str">
        <f>IF(F10="","",IF(F10&gt;='FORMAT PENILAIAN'!$B$8,"A",IF(F10&gt;='FORMAT PENILAIAN'!$B$9,"B",IF(F10&gt;='FORMAT PENILAIAN'!$B$10,"C","D"))))</f>
        <v>D</v>
      </c>
      <c r="H10" s="20" t="str">
        <f>IF(F10="","",IF(F10&gt;='FORMAT PENILAIAN'!$B$5,"Tuntas","Belum Tuntas"))</f>
        <v>Belum Tuntas</v>
      </c>
      <c r="I10" s="20" t="str">
        <f t="shared" si="0"/>
        <v>Belum mencapai KKM.</v>
      </c>
      <c r="J10" s="10"/>
      <c r="K10" s="10"/>
      <c r="L10" s="10"/>
      <c r="M10" s="10"/>
      <c r="N10" s="10"/>
      <c r="O10" s="10"/>
      <c r="P10" s="10"/>
      <c r="Q10" s="10"/>
    </row>
    <row r="11" spans="1:17" ht="19.95" customHeight="1" x14ac:dyDescent="0.3">
      <c r="A11" s="18">
        <v>3</v>
      </c>
      <c r="B11" s="16" t="s">
        <v>157</v>
      </c>
      <c r="C11" s="21" t="s">
        <v>77</v>
      </c>
      <c r="D11" s="17"/>
      <c r="E11" s="17"/>
      <c r="F11" s="19">
        <f>IF(B11="","",IF('FORMAT PENILAIAN'!$H$14&lt;&gt;100,"",ROUND(D11*'FORMAT PENILAIAN'!$C$15/100+E11*'FORMAT PENILAIAN'!$C$16/100,2)))</f>
        <v>0</v>
      </c>
      <c r="G11" s="20" t="str">
        <f>IF(F11="","",IF(F11&gt;='FORMAT PENILAIAN'!$B$8,"A",IF(F11&gt;='FORMAT PENILAIAN'!$B$9,"B",IF(F11&gt;='FORMAT PENILAIAN'!$B$10,"C","D"))))</f>
        <v>D</v>
      </c>
      <c r="H11" s="20" t="str">
        <f>IF(F11="","",IF(F11&gt;='FORMAT PENILAIAN'!$B$5,"Tuntas","Belum Tuntas"))</f>
        <v>Belum Tuntas</v>
      </c>
      <c r="I11" s="20" t="str">
        <f t="shared" si="0"/>
        <v>Belum mencapai KKM.</v>
      </c>
      <c r="J11" s="10"/>
      <c r="K11" s="10"/>
      <c r="L11" s="10"/>
      <c r="M11" s="10"/>
      <c r="N11" s="10"/>
      <c r="O11" s="10"/>
      <c r="P11" s="10"/>
      <c r="Q11" s="10"/>
    </row>
    <row r="12" spans="1:17" ht="19.95" customHeight="1" x14ac:dyDescent="0.3">
      <c r="A12" s="18">
        <v>4</v>
      </c>
      <c r="B12" s="16" t="s">
        <v>158</v>
      </c>
      <c r="C12" s="21" t="s">
        <v>77</v>
      </c>
      <c r="D12" s="17"/>
      <c r="E12" s="17"/>
      <c r="F12" s="19">
        <f>IF(B12="","",IF('FORMAT PENILAIAN'!$H$14&lt;&gt;100,"",ROUND(D12*'FORMAT PENILAIAN'!$C$15/100+E12*'FORMAT PENILAIAN'!$C$16/100,2)))</f>
        <v>0</v>
      </c>
      <c r="G12" s="20" t="str">
        <f>IF(F12="","",IF(F12&gt;='FORMAT PENILAIAN'!$B$8,"A",IF(F12&gt;='FORMAT PENILAIAN'!$B$9,"B",IF(F12&gt;='FORMAT PENILAIAN'!$B$10,"C","D"))))</f>
        <v>D</v>
      </c>
      <c r="H12" s="20" t="str">
        <f>IF(F12="","",IF(F12&gt;='FORMAT PENILAIAN'!$B$5,"Tuntas","Belum Tuntas"))</f>
        <v>Belum Tuntas</v>
      </c>
      <c r="I12" s="20" t="str">
        <f t="shared" si="0"/>
        <v>Belum mencapai KKM.</v>
      </c>
      <c r="J12" s="10"/>
      <c r="K12" s="10"/>
      <c r="L12" s="10"/>
      <c r="M12" s="10"/>
      <c r="N12" s="10"/>
      <c r="O12" s="10"/>
      <c r="P12" s="10"/>
      <c r="Q12" s="10"/>
    </row>
    <row r="13" spans="1:17" ht="19.95" customHeight="1" x14ac:dyDescent="0.3">
      <c r="A13" s="18">
        <v>5</v>
      </c>
      <c r="B13" s="16" t="s">
        <v>159</v>
      </c>
      <c r="C13" s="21" t="s">
        <v>77</v>
      </c>
      <c r="D13" s="17"/>
      <c r="E13" s="17"/>
      <c r="F13" s="19">
        <f>IF(B13="","",IF('FORMAT PENILAIAN'!$H$14&lt;&gt;100,"",ROUND(D13*'FORMAT PENILAIAN'!$C$15/100+E13*'FORMAT PENILAIAN'!$C$16/100,2)))</f>
        <v>0</v>
      </c>
      <c r="G13" s="20" t="str">
        <f>IF(F13="","",IF(F13&gt;='FORMAT PENILAIAN'!$B$8,"A",IF(F13&gt;='FORMAT PENILAIAN'!$B$9,"B",IF(F13&gt;='FORMAT PENILAIAN'!$B$10,"C","D"))))</f>
        <v>D</v>
      </c>
      <c r="H13" s="20" t="str">
        <f>IF(F13="","",IF(F13&gt;='FORMAT PENILAIAN'!$B$5,"Tuntas","Belum Tuntas"))</f>
        <v>Belum Tuntas</v>
      </c>
      <c r="I13" s="20" t="str">
        <f t="shared" si="0"/>
        <v>Belum mencapai KKM.</v>
      </c>
      <c r="J13" s="10"/>
      <c r="K13" s="10"/>
      <c r="L13" s="10"/>
      <c r="M13" s="10"/>
      <c r="N13" s="10"/>
      <c r="O13" s="10"/>
      <c r="P13" s="10"/>
      <c r="Q13" s="10"/>
    </row>
    <row r="14" spans="1:17" ht="19.95" customHeight="1" x14ac:dyDescent="0.3">
      <c r="A14" s="18">
        <v>6</v>
      </c>
      <c r="B14" s="16" t="s">
        <v>160</v>
      </c>
      <c r="C14" s="21" t="s">
        <v>77</v>
      </c>
      <c r="D14" s="17"/>
      <c r="E14" s="17"/>
      <c r="F14" s="19">
        <f>IF(B14="","",IF('FORMAT PENILAIAN'!$H$14&lt;&gt;100,"",ROUND(D14*'FORMAT PENILAIAN'!$C$15/100+E14*'FORMAT PENILAIAN'!$C$16/100,2)))</f>
        <v>0</v>
      </c>
      <c r="G14" s="20" t="str">
        <f>IF(F14="","",IF(F14&gt;='FORMAT PENILAIAN'!$B$8,"A",IF(F14&gt;='FORMAT PENILAIAN'!$B$9,"B",IF(F14&gt;='FORMAT PENILAIAN'!$B$10,"C","D"))))</f>
        <v>D</v>
      </c>
      <c r="H14" s="20" t="str">
        <f>IF(F14="","",IF(F14&gt;='FORMAT PENILAIAN'!$B$5,"Tuntas","Belum Tuntas"))</f>
        <v>Belum Tuntas</v>
      </c>
      <c r="I14" s="20" t="str">
        <f t="shared" si="0"/>
        <v>Belum mencapai KKM.</v>
      </c>
      <c r="J14" s="10"/>
      <c r="K14" s="10"/>
      <c r="L14" s="10"/>
      <c r="M14" s="10"/>
      <c r="N14" s="10"/>
      <c r="O14" s="10"/>
      <c r="P14" s="10"/>
      <c r="Q14" s="10"/>
    </row>
    <row r="15" spans="1:17" ht="19.95" customHeight="1" x14ac:dyDescent="0.3">
      <c r="A15" s="18">
        <v>7</v>
      </c>
      <c r="B15" s="16" t="s">
        <v>161</v>
      </c>
      <c r="C15" s="21" t="s">
        <v>77</v>
      </c>
      <c r="D15" s="17"/>
      <c r="E15" s="17"/>
      <c r="F15" s="19">
        <f>IF(B15="","",IF('FORMAT PENILAIAN'!$H$14&lt;&gt;100,"",ROUND(D15*'FORMAT PENILAIAN'!$C$15/100+E15*'FORMAT PENILAIAN'!$C$16/100,2)))</f>
        <v>0</v>
      </c>
      <c r="G15" s="20" t="str">
        <f>IF(F15="","",IF(F15&gt;='FORMAT PENILAIAN'!$B$8,"A",IF(F15&gt;='FORMAT PENILAIAN'!$B$9,"B",IF(F15&gt;='FORMAT PENILAIAN'!$B$10,"C","D"))))</f>
        <v>D</v>
      </c>
      <c r="H15" s="20" t="str">
        <f>IF(F15="","",IF(F15&gt;='FORMAT PENILAIAN'!$B$5,"Tuntas","Belum Tuntas"))</f>
        <v>Belum Tuntas</v>
      </c>
      <c r="I15" s="20" t="str">
        <f t="shared" si="0"/>
        <v>Belum mencapai KKM.</v>
      </c>
      <c r="J15" s="10"/>
      <c r="K15" s="10"/>
      <c r="L15" s="10"/>
      <c r="M15" s="10"/>
      <c r="N15" s="10"/>
      <c r="O15" s="10"/>
      <c r="P15" s="10"/>
      <c r="Q15" s="10"/>
    </row>
    <row r="16" spans="1:17" ht="19.95" customHeight="1" x14ac:dyDescent="0.3">
      <c r="A16" s="18">
        <v>8</v>
      </c>
      <c r="B16" s="16" t="s">
        <v>162</v>
      </c>
      <c r="C16" s="21" t="s">
        <v>77</v>
      </c>
      <c r="D16" s="17"/>
      <c r="E16" s="17"/>
      <c r="F16" s="19">
        <f>IF(B16="","",IF('FORMAT PENILAIAN'!$H$14&lt;&gt;100,"",ROUND(D16*'FORMAT PENILAIAN'!$C$15/100+E16*'FORMAT PENILAIAN'!$C$16/100,2)))</f>
        <v>0</v>
      </c>
      <c r="G16" s="20" t="str">
        <f>IF(F16="","",IF(F16&gt;='FORMAT PENILAIAN'!$B$8,"A",IF(F16&gt;='FORMAT PENILAIAN'!$B$9,"B",IF(F16&gt;='FORMAT PENILAIAN'!$B$10,"C","D"))))</f>
        <v>D</v>
      </c>
      <c r="H16" s="20" t="str">
        <f>IF(F16="","",IF(F16&gt;='FORMAT PENILAIAN'!$B$5,"Tuntas","Belum Tuntas"))</f>
        <v>Belum Tuntas</v>
      </c>
      <c r="I16" s="20" t="str">
        <f t="shared" si="0"/>
        <v>Belum mencapai KKM.</v>
      </c>
      <c r="J16" s="10"/>
      <c r="K16" s="10"/>
      <c r="L16" s="10"/>
      <c r="M16" s="10"/>
      <c r="N16" s="10"/>
      <c r="O16" s="10"/>
      <c r="P16" s="10"/>
      <c r="Q16" s="10"/>
    </row>
    <row r="17" spans="1:17" ht="19.95" customHeight="1" x14ac:dyDescent="0.3">
      <c r="A17" s="18">
        <v>9</v>
      </c>
      <c r="B17" s="16" t="s">
        <v>163</v>
      </c>
      <c r="C17" s="21" t="s">
        <v>77</v>
      </c>
      <c r="D17" s="17"/>
      <c r="E17" s="17"/>
      <c r="F17" s="19">
        <f>IF(B17="","",IF('FORMAT PENILAIAN'!$H$14&lt;&gt;100,"",ROUND(D17*'FORMAT PENILAIAN'!$C$15/100+E17*'FORMAT PENILAIAN'!$C$16/100,2)))</f>
        <v>0</v>
      </c>
      <c r="G17" s="20" t="str">
        <f>IF(F17="","",IF(F17&gt;='FORMAT PENILAIAN'!$B$8,"A",IF(F17&gt;='FORMAT PENILAIAN'!$B$9,"B",IF(F17&gt;='FORMAT PENILAIAN'!$B$10,"C","D"))))</f>
        <v>D</v>
      </c>
      <c r="H17" s="20" t="str">
        <f>IF(F17="","",IF(F17&gt;='FORMAT PENILAIAN'!$B$5,"Tuntas","Belum Tuntas"))</f>
        <v>Belum Tuntas</v>
      </c>
      <c r="I17" s="20" t="str">
        <f t="shared" si="0"/>
        <v>Belum mencapai KKM.</v>
      </c>
      <c r="J17" s="10"/>
      <c r="K17" s="10"/>
      <c r="L17" s="10"/>
      <c r="M17" s="10"/>
      <c r="N17" s="10"/>
      <c r="O17" s="10"/>
      <c r="P17" s="10"/>
      <c r="Q17" s="10"/>
    </row>
    <row r="18" spans="1:17" ht="19.95" customHeight="1" x14ac:dyDescent="0.3">
      <c r="A18" s="18">
        <v>10</v>
      </c>
      <c r="B18" s="16" t="s">
        <v>164</v>
      </c>
      <c r="C18" s="21" t="s">
        <v>77</v>
      </c>
      <c r="D18" s="17"/>
      <c r="E18" s="17"/>
      <c r="F18" s="19">
        <f>IF(B18="","",IF('FORMAT PENILAIAN'!$H$14&lt;&gt;100,"",ROUND(D18*'FORMAT PENILAIAN'!$C$15/100+E18*'FORMAT PENILAIAN'!$C$16/100,2)))</f>
        <v>0</v>
      </c>
      <c r="G18" s="20" t="str">
        <f>IF(F18="","",IF(F18&gt;='FORMAT PENILAIAN'!$B$8,"A",IF(F18&gt;='FORMAT PENILAIAN'!$B$9,"B",IF(F18&gt;='FORMAT PENILAIAN'!$B$10,"C","D"))))</f>
        <v>D</v>
      </c>
      <c r="H18" s="20" t="str">
        <f>IF(F18="","",IF(F18&gt;='FORMAT PENILAIAN'!$B$5,"Tuntas","Belum Tuntas"))</f>
        <v>Belum Tuntas</v>
      </c>
      <c r="I18" s="20" t="str">
        <f t="shared" si="0"/>
        <v>Belum mencapai KKM.</v>
      </c>
      <c r="J18" s="10"/>
      <c r="K18" s="10"/>
      <c r="L18" s="10"/>
      <c r="M18" s="10"/>
      <c r="N18" s="10"/>
      <c r="O18" s="10"/>
      <c r="P18" s="10"/>
      <c r="Q18" s="10"/>
    </row>
    <row r="19" spans="1:17" ht="19.95" customHeight="1" x14ac:dyDescent="0.3">
      <c r="A19" s="18">
        <v>11</v>
      </c>
      <c r="B19" s="16" t="s">
        <v>165</v>
      </c>
      <c r="C19" s="21" t="s">
        <v>77</v>
      </c>
      <c r="D19" s="17"/>
      <c r="E19" s="17"/>
      <c r="F19" s="19">
        <f>IF(B19="","",IF('FORMAT PENILAIAN'!$H$14&lt;&gt;100,"",ROUND(D19*'FORMAT PENILAIAN'!$C$15/100+E19*'FORMAT PENILAIAN'!$C$16/100,2)))</f>
        <v>0</v>
      </c>
      <c r="G19" s="20" t="str">
        <f>IF(F19="","",IF(F19&gt;='FORMAT PENILAIAN'!$B$8,"A",IF(F19&gt;='FORMAT PENILAIAN'!$B$9,"B",IF(F19&gt;='FORMAT PENILAIAN'!$B$10,"C","D"))))</f>
        <v>D</v>
      </c>
      <c r="H19" s="20" t="str">
        <f>IF(F19="","",IF(F19&gt;='FORMAT PENILAIAN'!$B$5,"Tuntas","Belum Tuntas"))</f>
        <v>Belum Tuntas</v>
      </c>
      <c r="I19" s="20" t="str">
        <f t="shared" si="0"/>
        <v>Belum mencapai KKM.</v>
      </c>
      <c r="J19" s="10"/>
      <c r="K19" s="10"/>
      <c r="L19" s="10"/>
      <c r="M19" s="10"/>
      <c r="N19" s="10"/>
      <c r="O19" s="10"/>
      <c r="P19" s="10"/>
      <c r="Q19" s="10"/>
    </row>
    <row r="20" spans="1:17" ht="19.95" customHeight="1" x14ac:dyDescent="0.3">
      <c r="A20" s="18">
        <v>12</v>
      </c>
      <c r="B20" s="16" t="s">
        <v>166</v>
      </c>
      <c r="C20" s="21" t="s">
        <v>77</v>
      </c>
      <c r="D20" s="17"/>
      <c r="E20" s="17"/>
      <c r="F20" s="19">
        <f>IF(B20="","",IF('FORMAT PENILAIAN'!$H$14&lt;&gt;100,"",ROUND(D20*'FORMAT PENILAIAN'!$C$15/100+E20*'FORMAT PENILAIAN'!$C$16/100,2)))</f>
        <v>0</v>
      </c>
      <c r="G20" s="20" t="str">
        <f>IF(F20="","",IF(F20&gt;='FORMAT PENILAIAN'!$B$8,"A",IF(F20&gt;='FORMAT PENILAIAN'!$B$9,"B",IF(F20&gt;='FORMAT PENILAIAN'!$B$10,"C","D"))))</f>
        <v>D</v>
      </c>
      <c r="H20" s="20" t="str">
        <f>IF(F20="","",IF(F20&gt;='FORMAT PENILAIAN'!$B$5,"Tuntas","Belum Tuntas"))</f>
        <v>Belum Tuntas</v>
      </c>
      <c r="I20" s="20" t="str">
        <f t="shared" si="0"/>
        <v>Belum mencapai KKM.</v>
      </c>
      <c r="J20" s="10"/>
      <c r="K20" s="10"/>
      <c r="L20" s="10"/>
      <c r="M20" s="10"/>
      <c r="N20" s="10"/>
      <c r="O20" s="10"/>
      <c r="P20" s="10"/>
      <c r="Q20" s="10"/>
    </row>
    <row r="21" spans="1:17" ht="19.95" customHeight="1" x14ac:dyDescent="0.3">
      <c r="A21" s="18">
        <v>13</v>
      </c>
      <c r="B21" s="16" t="s">
        <v>167</v>
      </c>
      <c r="C21" s="21" t="s">
        <v>77</v>
      </c>
      <c r="D21" s="17"/>
      <c r="E21" s="17"/>
      <c r="F21" s="19">
        <f>IF(B21="","",IF('FORMAT PENILAIAN'!$H$14&lt;&gt;100,"",ROUND(D21*'FORMAT PENILAIAN'!$C$15/100+E21*'FORMAT PENILAIAN'!$C$16/100,2)))</f>
        <v>0</v>
      </c>
      <c r="G21" s="20" t="str">
        <f>IF(F21="","",IF(F21&gt;='FORMAT PENILAIAN'!$B$8,"A",IF(F21&gt;='FORMAT PENILAIAN'!$B$9,"B",IF(F21&gt;='FORMAT PENILAIAN'!$B$10,"C","D"))))</f>
        <v>D</v>
      </c>
      <c r="H21" s="20" t="str">
        <f>IF(F21="","",IF(F21&gt;='FORMAT PENILAIAN'!$B$5,"Tuntas","Belum Tuntas"))</f>
        <v>Belum Tuntas</v>
      </c>
      <c r="I21" s="20" t="str">
        <f t="shared" si="0"/>
        <v>Belum mencapai KKM.</v>
      </c>
      <c r="J21" s="10"/>
      <c r="K21" s="10"/>
      <c r="L21" s="10"/>
      <c r="M21" s="10"/>
      <c r="N21" s="10"/>
      <c r="O21" s="10"/>
      <c r="P21" s="10"/>
      <c r="Q21" s="10"/>
    </row>
    <row r="22" spans="1:17" ht="19.95" customHeight="1" x14ac:dyDescent="0.3">
      <c r="A22" s="18">
        <v>14</v>
      </c>
      <c r="B22" s="16" t="s">
        <v>168</v>
      </c>
      <c r="C22" s="21" t="s">
        <v>77</v>
      </c>
      <c r="D22" s="17"/>
      <c r="E22" s="17"/>
      <c r="F22" s="19">
        <f>IF(B22="","",IF('FORMAT PENILAIAN'!$H$14&lt;&gt;100,"",ROUND(D22*'FORMAT PENILAIAN'!$C$15/100+E22*'FORMAT PENILAIAN'!$C$16/100,2)))</f>
        <v>0</v>
      </c>
      <c r="G22" s="20" t="str">
        <f>IF(F22="","",IF(F22&gt;='FORMAT PENILAIAN'!$B$8,"A",IF(F22&gt;='FORMAT PENILAIAN'!$B$9,"B",IF(F22&gt;='FORMAT PENILAIAN'!$B$10,"C","D"))))</f>
        <v>D</v>
      </c>
      <c r="H22" s="20" t="str">
        <f>IF(F22="","",IF(F22&gt;='FORMAT PENILAIAN'!$B$5,"Tuntas","Belum Tuntas"))</f>
        <v>Belum Tuntas</v>
      </c>
      <c r="I22" s="20" t="str">
        <f t="shared" si="0"/>
        <v>Belum mencapai KKM.</v>
      </c>
      <c r="J22" s="10"/>
      <c r="K22" s="10"/>
      <c r="L22" s="10"/>
      <c r="M22" s="10"/>
      <c r="N22" s="10"/>
      <c r="O22" s="10"/>
      <c r="P22" s="10"/>
      <c r="Q22" s="10"/>
    </row>
    <row r="23" spans="1:17" ht="19.95" customHeight="1" x14ac:dyDescent="0.3">
      <c r="A23" s="18">
        <v>15</v>
      </c>
      <c r="B23" s="16" t="s">
        <v>169</v>
      </c>
      <c r="C23" s="21" t="s">
        <v>77</v>
      </c>
      <c r="D23" s="17"/>
      <c r="E23" s="17"/>
      <c r="F23" s="19">
        <f>IF(B23="","",IF('FORMAT PENILAIAN'!$H$14&lt;&gt;100,"",ROUND(D23*'FORMAT PENILAIAN'!$C$15/100+E23*'FORMAT PENILAIAN'!$C$16/100,2)))</f>
        <v>0</v>
      </c>
      <c r="G23" s="20" t="str">
        <f>IF(F23="","",IF(F23&gt;='FORMAT PENILAIAN'!$B$8,"A",IF(F23&gt;='FORMAT PENILAIAN'!$B$9,"B",IF(F23&gt;='FORMAT PENILAIAN'!$B$10,"C","D"))))</f>
        <v>D</v>
      </c>
      <c r="H23" s="20" t="str">
        <f>IF(F23="","",IF(F23&gt;='FORMAT PENILAIAN'!$B$5,"Tuntas","Belum Tuntas"))</f>
        <v>Belum Tuntas</v>
      </c>
      <c r="I23" s="20" t="str">
        <f t="shared" si="0"/>
        <v>Belum mencapai KKM.</v>
      </c>
      <c r="J23" s="10"/>
      <c r="K23" s="10"/>
      <c r="L23" s="10"/>
      <c r="M23" s="10"/>
      <c r="N23" s="10"/>
      <c r="O23" s="10"/>
      <c r="P23" s="10"/>
      <c r="Q23" s="10"/>
    </row>
    <row r="24" spans="1:17" ht="19.95" customHeight="1" x14ac:dyDescent="0.3">
      <c r="A24" s="18">
        <v>16</v>
      </c>
      <c r="B24" s="16" t="s">
        <v>170</v>
      </c>
      <c r="C24" s="21" t="s">
        <v>77</v>
      </c>
      <c r="D24" s="17"/>
      <c r="E24" s="17"/>
      <c r="F24" s="19">
        <f>IF(B24="","",IF('FORMAT PENILAIAN'!$H$14&lt;&gt;100,"",ROUND(D24*'FORMAT PENILAIAN'!$C$15/100+E24*'FORMAT PENILAIAN'!$C$16/100,2)))</f>
        <v>0</v>
      </c>
      <c r="G24" s="20" t="str">
        <f>IF(F24="","",IF(F24&gt;='FORMAT PENILAIAN'!$B$8,"A",IF(F24&gt;='FORMAT PENILAIAN'!$B$9,"B",IF(F24&gt;='FORMAT PENILAIAN'!$B$10,"C","D"))))</f>
        <v>D</v>
      </c>
      <c r="H24" s="20" t="str">
        <f>IF(F24="","",IF(F24&gt;='FORMAT PENILAIAN'!$B$5,"Tuntas","Belum Tuntas"))</f>
        <v>Belum Tuntas</v>
      </c>
      <c r="I24" s="20" t="str">
        <f t="shared" si="0"/>
        <v>Belum mencapai KKM.</v>
      </c>
      <c r="J24" s="10"/>
      <c r="K24" s="10"/>
      <c r="L24" s="10"/>
      <c r="M24" s="10"/>
      <c r="N24" s="10"/>
      <c r="O24" s="10"/>
      <c r="P24" s="10"/>
      <c r="Q24" s="10"/>
    </row>
    <row r="25" spans="1:17" ht="19.95" customHeight="1" x14ac:dyDescent="0.3">
      <c r="A25" s="18">
        <v>17</v>
      </c>
      <c r="B25" s="16" t="s">
        <v>171</v>
      </c>
      <c r="C25" s="21" t="s">
        <v>77</v>
      </c>
      <c r="D25" s="17"/>
      <c r="E25" s="17"/>
      <c r="F25" s="19">
        <f>IF(B25="","",IF('FORMAT PENILAIAN'!$H$14&lt;&gt;100,"",ROUND(D25*'FORMAT PENILAIAN'!$C$15/100+E25*'FORMAT PENILAIAN'!$C$16/100,2)))</f>
        <v>0</v>
      </c>
      <c r="G25" s="20" t="str">
        <f>IF(F25="","",IF(F25&gt;='FORMAT PENILAIAN'!$B$8,"A",IF(F25&gt;='FORMAT PENILAIAN'!$B$9,"B",IF(F25&gt;='FORMAT PENILAIAN'!$B$10,"C","D"))))</f>
        <v>D</v>
      </c>
      <c r="H25" s="20" t="str">
        <f>IF(F25="","",IF(F25&gt;='FORMAT PENILAIAN'!$B$5,"Tuntas","Belum Tuntas"))</f>
        <v>Belum Tuntas</v>
      </c>
      <c r="I25" s="20" t="str">
        <f t="shared" si="0"/>
        <v>Belum mencapai KKM.</v>
      </c>
      <c r="J25" s="10"/>
      <c r="K25" s="10"/>
      <c r="L25" s="10"/>
      <c r="M25" s="10"/>
      <c r="N25" s="10"/>
      <c r="O25" s="10"/>
      <c r="P25" s="10"/>
      <c r="Q25" s="10"/>
    </row>
    <row r="26" spans="1:17" ht="19.95" customHeight="1" x14ac:dyDescent="0.3">
      <c r="A26" s="18">
        <v>18</v>
      </c>
      <c r="B26" s="16" t="s">
        <v>172</v>
      </c>
      <c r="C26" s="21" t="s">
        <v>77</v>
      </c>
      <c r="D26" s="17"/>
      <c r="E26" s="17"/>
      <c r="F26" s="19">
        <f>IF(B26="","",IF('FORMAT PENILAIAN'!$H$14&lt;&gt;100,"",ROUND(D26*'FORMAT PENILAIAN'!$C$15/100+E26*'FORMAT PENILAIAN'!$C$16/100,2)))</f>
        <v>0</v>
      </c>
      <c r="G26" s="20" t="str">
        <f>IF(F26="","",IF(F26&gt;='FORMAT PENILAIAN'!$B$8,"A",IF(F26&gt;='FORMAT PENILAIAN'!$B$9,"B",IF(F26&gt;='FORMAT PENILAIAN'!$B$10,"C","D"))))</f>
        <v>D</v>
      </c>
      <c r="H26" s="20" t="str">
        <f>IF(F26="","",IF(F26&gt;='FORMAT PENILAIAN'!$B$5,"Tuntas","Belum Tuntas"))</f>
        <v>Belum Tuntas</v>
      </c>
      <c r="I26" s="20" t="str">
        <f t="shared" si="0"/>
        <v>Belum mencapai KKM.</v>
      </c>
      <c r="J26" s="10"/>
      <c r="K26" s="10"/>
      <c r="L26" s="10"/>
      <c r="M26" s="10"/>
      <c r="N26" s="10"/>
      <c r="O26" s="10"/>
      <c r="P26" s="10"/>
      <c r="Q26" s="10"/>
    </row>
    <row r="27" spans="1:17" ht="19.95" customHeight="1" x14ac:dyDescent="0.3">
      <c r="A27" s="18">
        <v>19</v>
      </c>
      <c r="B27" s="16" t="s">
        <v>173</v>
      </c>
      <c r="C27" s="21" t="s">
        <v>77</v>
      </c>
      <c r="D27" s="17"/>
      <c r="E27" s="17"/>
      <c r="F27" s="19">
        <f>IF(B27="","",IF('FORMAT PENILAIAN'!$H$14&lt;&gt;100,"",ROUND(D27*'FORMAT PENILAIAN'!$C$15/100+E27*'FORMAT PENILAIAN'!$C$16/100,2)))</f>
        <v>0</v>
      </c>
      <c r="G27" s="20" t="str">
        <f>IF(F27="","",IF(F27&gt;='FORMAT PENILAIAN'!$B$8,"A",IF(F27&gt;='FORMAT PENILAIAN'!$B$9,"B",IF(F27&gt;='FORMAT PENILAIAN'!$B$10,"C","D"))))</f>
        <v>D</v>
      </c>
      <c r="H27" s="20" t="str">
        <f>IF(F27="","",IF(F27&gt;='FORMAT PENILAIAN'!$B$5,"Tuntas","Belum Tuntas"))</f>
        <v>Belum Tuntas</v>
      </c>
      <c r="I27" s="20" t="str">
        <f t="shared" si="0"/>
        <v>Belum mencapai KKM.</v>
      </c>
      <c r="J27" s="10"/>
      <c r="K27" s="10"/>
      <c r="L27" s="10"/>
      <c r="M27" s="10"/>
      <c r="N27" s="10"/>
      <c r="O27" s="10"/>
      <c r="P27" s="10"/>
      <c r="Q27" s="10"/>
    </row>
    <row r="28" spans="1:17" ht="19.95" customHeight="1" x14ac:dyDescent="0.3">
      <c r="A28" s="18">
        <v>20</v>
      </c>
      <c r="B28" s="16" t="s">
        <v>174</v>
      </c>
      <c r="C28" s="21" t="s">
        <v>77</v>
      </c>
      <c r="D28" s="17"/>
      <c r="E28" s="17"/>
      <c r="F28" s="19">
        <f>IF(B28="","",IF('FORMAT PENILAIAN'!$H$14&lt;&gt;100,"",ROUND(D28*'FORMAT PENILAIAN'!$C$15/100+E28*'FORMAT PENILAIAN'!$C$16/100,2)))</f>
        <v>0</v>
      </c>
      <c r="G28" s="20" t="str">
        <f>IF(F28="","",IF(F28&gt;='FORMAT PENILAIAN'!$B$8,"A",IF(F28&gt;='FORMAT PENILAIAN'!$B$9,"B",IF(F28&gt;='FORMAT PENILAIAN'!$B$10,"C","D"))))</f>
        <v>D</v>
      </c>
      <c r="H28" s="20" t="str">
        <f>IF(F28="","",IF(F28&gt;='FORMAT PENILAIAN'!$B$5,"Tuntas","Belum Tuntas"))</f>
        <v>Belum Tuntas</v>
      </c>
      <c r="I28" s="20" t="str">
        <f t="shared" si="0"/>
        <v>Belum mencapai KKM.</v>
      </c>
      <c r="J28" s="10"/>
      <c r="K28" s="10"/>
      <c r="L28" s="10"/>
      <c r="M28" s="10"/>
      <c r="N28" s="10"/>
      <c r="O28" s="10"/>
      <c r="P28" s="10"/>
      <c r="Q28" s="10"/>
    </row>
    <row r="29" spans="1:17" ht="19.9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9.9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ht="19.95" customHeight="1" x14ac:dyDescent="0.3">
      <c r="A31" s="35" t="s">
        <v>95</v>
      </c>
      <c r="B31" s="36"/>
      <c r="C31" s="36"/>
      <c r="D31" s="36"/>
      <c r="E31" s="36"/>
      <c r="F31" s="36"/>
      <c r="G31" s="36"/>
      <c r="H31" s="36"/>
      <c r="I31" s="36"/>
      <c r="J31" s="10"/>
      <c r="K31" s="10"/>
      <c r="L31" s="10"/>
      <c r="M31" s="10"/>
      <c r="N31" s="10"/>
      <c r="O31" s="10"/>
      <c r="P31" s="10"/>
      <c r="Q31" s="10"/>
    </row>
    <row r="32" spans="1:17" ht="19.95" customHeight="1" x14ac:dyDescent="0.3">
      <c r="A32" s="11" t="s">
        <v>96</v>
      </c>
      <c r="B32" s="32">
        <f>COUNTIF(B9:B28,"&lt;&gt;")</f>
        <v>20</v>
      </c>
      <c r="C32" s="31"/>
      <c r="D32" s="10"/>
      <c r="E32" s="29" t="s">
        <v>59</v>
      </c>
      <c r="F32" s="29" t="s">
        <v>97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ht="19.95" customHeight="1" x14ac:dyDescent="0.3">
      <c r="A33" s="11" t="s">
        <v>98</v>
      </c>
      <c r="B33" s="32">
        <f>COUNTIF(H9:H28,"Tuntas")</f>
        <v>0</v>
      </c>
      <c r="C33" s="31"/>
      <c r="D33" s="10"/>
      <c r="E33" s="22" t="s">
        <v>99</v>
      </c>
      <c r="F33" s="22">
        <f>COUNTIF(G9:G28,E33)</f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19.95" customHeight="1" x14ac:dyDescent="0.3">
      <c r="A34" s="11" t="s">
        <v>100</v>
      </c>
      <c r="B34" s="32">
        <f>COUNTIF(H9:H28,"Belum Tuntas")</f>
        <v>20</v>
      </c>
      <c r="C34" s="31"/>
      <c r="D34" s="10"/>
      <c r="E34" s="22" t="s">
        <v>101</v>
      </c>
      <c r="F34" s="22">
        <f>COUNTIF(G9:G28,E34)</f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19.95" customHeight="1" x14ac:dyDescent="0.3">
      <c r="A35" s="11" t="s">
        <v>102</v>
      </c>
      <c r="B35" s="33">
        <f>IF(B32=0,0,B33/B32)</f>
        <v>0</v>
      </c>
      <c r="C35" s="31"/>
      <c r="D35" s="10"/>
      <c r="E35" s="22" t="s">
        <v>103</v>
      </c>
      <c r="F35" s="22">
        <f>COUNTIF(G9:G28,E35)</f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19.95" customHeight="1" x14ac:dyDescent="0.3">
      <c r="A36" s="11" t="s">
        <v>104</v>
      </c>
      <c r="B36" s="32">
        <f>IFERROR(AVERAGE(F9:F28),0)</f>
        <v>0</v>
      </c>
      <c r="C36" s="31"/>
      <c r="D36" s="10"/>
      <c r="E36" s="22" t="s">
        <v>105</v>
      </c>
      <c r="F36" s="22">
        <f>COUNTIF(G9:G28,E36)</f>
        <v>20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ht="19.95" customHeight="1" x14ac:dyDescent="0.3">
      <c r="A37" s="11" t="s">
        <v>106</v>
      </c>
      <c r="B37" s="32">
        <f>IFERROR(MAX(F9:F28),0)</f>
        <v>0</v>
      </c>
      <c r="C37" s="3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ht="19.95" customHeight="1" x14ac:dyDescent="0.3">
      <c r="A38" s="11" t="s">
        <v>107</v>
      </c>
      <c r="B38" s="32">
        <f ca="1">IFERROR(_xludf.MINIFS(F9:F28,F9:F28,"&gt;0"),0)</f>
        <v>0</v>
      </c>
      <c r="C38" s="3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ht="19.9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9.9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9.95" customHeight="1" x14ac:dyDescent="0.3">
      <c r="J41" s="10"/>
      <c r="K41" s="10"/>
      <c r="L41" s="10"/>
      <c r="M41" s="10"/>
      <c r="N41" s="10"/>
      <c r="O41" s="10"/>
      <c r="P41" s="10"/>
      <c r="Q41" s="10"/>
    </row>
    <row r="42" spans="1:17" ht="19.95" customHeight="1" x14ac:dyDescent="0.3">
      <c r="J42" s="10"/>
      <c r="K42" s="10"/>
      <c r="L42" s="10"/>
      <c r="M42" s="10"/>
      <c r="N42" s="10"/>
      <c r="O42" s="10"/>
      <c r="P42" s="10"/>
      <c r="Q42" s="10"/>
    </row>
    <row r="43" spans="1:17" ht="19.95" customHeight="1" x14ac:dyDescent="0.3">
      <c r="J43" s="10"/>
      <c r="K43" s="10"/>
      <c r="L43" s="10"/>
      <c r="M43" s="10"/>
      <c r="N43" s="10"/>
      <c r="O43" s="10"/>
      <c r="P43" s="10"/>
      <c r="Q43" s="10"/>
    </row>
    <row r="44" spans="1:17" ht="19.95" customHeight="1" x14ac:dyDescent="0.3">
      <c r="J44" s="10"/>
      <c r="K44" s="10"/>
      <c r="L44" s="10"/>
      <c r="M44" s="10"/>
      <c r="N44" s="10"/>
      <c r="O44" s="10"/>
      <c r="P44" s="10"/>
      <c r="Q44" s="10"/>
    </row>
    <row r="45" spans="1:17" ht="19.95" customHeight="1" x14ac:dyDescent="0.3">
      <c r="J45" s="10"/>
      <c r="K45" s="10"/>
      <c r="L45" s="10"/>
      <c r="M45" s="10"/>
      <c r="N45" s="10"/>
      <c r="O45" s="10"/>
      <c r="P45" s="10"/>
      <c r="Q45" s="10"/>
    </row>
    <row r="46" spans="1:17" ht="19.95" customHeight="1" x14ac:dyDescent="0.3">
      <c r="J46" s="10"/>
      <c r="K46" s="10"/>
      <c r="L46" s="10"/>
      <c r="M46" s="10"/>
      <c r="N46" s="10"/>
      <c r="O46" s="10"/>
      <c r="P46" s="10"/>
      <c r="Q46" s="10"/>
    </row>
    <row r="47" spans="1:17" ht="19.95" customHeight="1" x14ac:dyDescent="0.3">
      <c r="J47" s="10"/>
      <c r="K47" s="10"/>
      <c r="L47" s="10"/>
      <c r="M47" s="10"/>
      <c r="N47" s="10"/>
      <c r="O47" s="10"/>
      <c r="P47" s="10"/>
      <c r="Q47" s="10"/>
    </row>
    <row r="48" spans="1:17" ht="19.95" customHeight="1" x14ac:dyDescent="0.3">
      <c r="J48" s="10"/>
      <c r="K48" s="10"/>
      <c r="L48" s="10"/>
      <c r="M48" s="10"/>
      <c r="N48" s="10"/>
      <c r="O48" s="10"/>
      <c r="P48" s="10"/>
      <c r="Q48" s="10"/>
    </row>
    <row r="49" spans="10:17" x14ac:dyDescent="0.3">
      <c r="J49" s="10"/>
      <c r="K49" s="10"/>
      <c r="L49" s="10"/>
      <c r="M49" s="10"/>
      <c r="N49" s="10"/>
      <c r="O49" s="10"/>
      <c r="P49" s="10"/>
      <c r="Q49" s="10"/>
    </row>
    <row r="50" spans="10:17" x14ac:dyDescent="0.3">
      <c r="J50" s="10"/>
      <c r="K50" s="10"/>
      <c r="L50" s="10"/>
      <c r="M50" s="10"/>
      <c r="N50" s="10"/>
      <c r="O50" s="10"/>
      <c r="P50" s="10"/>
      <c r="Q50" s="10"/>
    </row>
    <row r="51" spans="10:17" x14ac:dyDescent="0.3">
      <c r="J51" s="10"/>
      <c r="K51" s="10"/>
      <c r="L51" s="10"/>
      <c r="M51" s="10"/>
      <c r="N51" s="10"/>
      <c r="O51" s="10"/>
      <c r="P51" s="10"/>
      <c r="Q51" s="10"/>
    </row>
    <row r="52" spans="10:17" x14ac:dyDescent="0.3">
      <c r="J52" s="10"/>
      <c r="K52" s="10"/>
      <c r="L52" s="10"/>
      <c r="M52" s="10"/>
      <c r="N52" s="10"/>
      <c r="O52" s="10"/>
      <c r="P52" s="10"/>
      <c r="Q52" s="10"/>
    </row>
    <row r="53" spans="10:17" x14ac:dyDescent="0.3">
      <c r="J53" s="10"/>
      <c r="K53" s="10"/>
      <c r="L53" s="10"/>
      <c r="M53" s="10"/>
      <c r="N53" s="10"/>
      <c r="O53" s="10"/>
      <c r="P53" s="10"/>
      <c r="Q53" s="10"/>
    </row>
    <row r="54" spans="10:17" x14ac:dyDescent="0.3">
      <c r="J54" s="10"/>
      <c r="K54" s="10"/>
      <c r="L54" s="10"/>
      <c r="M54" s="10"/>
      <c r="N54" s="10"/>
      <c r="O54" s="10"/>
      <c r="P54" s="10"/>
      <c r="Q54" s="10"/>
    </row>
    <row r="55" spans="10:17" x14ac:dyDescent="0.3">
      <c r="J55" s="10"/>
      <c r="K55" s="10"/>
      <c r="L55" s="10"/>
      <c r="M55" s="10"/>
      <c r="N55" s="10"/>
      <c r="O55" s="10"/>
      <c r="P55" s="10"/>
      <c r="Q55" s="10"/>
    </row>
    <row r="56" spans="10:17" x14ac:dyDescent="0.3">
      <c r="J56" s="10"/>
      <c r="K56" s="10"/>
      <c r="L56" s="10"/>
      <c r="M56" s="10"/>
      <c r="N56" s="10"/>
      <c r="O56" s="10"/>
      <c r="P56" s="10"/>
      <c r="Q56" s="10"/>
    </row>
    <row r="57" spans="10:17" x14ac:dyDescent="0.3">
      <c r="J57" s="10"/>
      <c r="K57" s="10"/>
      <c r="L57" s="10"/>
      <c r="M57" s="10"/>
      <c r="N57" s="10"/>
      <c r="O57" s="10"/>
      <c r="P57" s="10"/>
      <c r="Q57" s="10"/>
    </row>
    <row r="58" spans="10:17" x14ac:dyDescent="0.3">
      <c r="J58" s="10"/>
      <c r="K58" s="10"/>
      <c r="L58" s="10"/>
      <c r="M58" s="10"/>
      <c r="N58" s="10"/>
      <c r="O58" s="10"/>
      <c r="P58" s="10"/>
      <c r="Q58" s="10"/>
    </row>
    <row r="59" spans="10:17" x14ac:dyDescent="0.3">
      <c r="J59" s="10"/>
      <c r="K59" s="10"/>
      <c r="L59" s="10"/>
      <c r="M59" s="10"/>
      <c r="N59" s="10"/>
      <c r="O59" s="10"/>
      <c r="P59" s="10"/>
      <c r="Q59" s="10"/>
    </row>
    <row r="60" spans="10:17" x14ac:dyDescent="0.3">
      <c r="J60" s="10"/>
      <c r="K60" s="10"/>
      <c r="L60" s="10"/>
      <c r="M60" s="10"/>
      <c r="N60" s="10"/>
      <c r="O60" s="10"/>
      <c r="P60" s="10"/>
      <c r="Q60" s="10"/>
    </row>
  </sheetData>
  <autoFilter ref="A8:I28" xr:uid="{00000000-0009-0000-0000-000005000000}"/>
  <mergeCells count="11">
    <mergeCell ref="A1:I1"/>
    <mergeCell ref="B37:C37"/>
    <mergeCell ref="B36:C36"/>
    <mergeCell ref="B33:C33"/>
    <mergeCell ref="B38:C38"/>
    <mergeCell ref="B35:C35"/>
    <mergeCell ref="B32:C32"/>
    <mergeCell ref="B34:C34"/>
    <mergeCell ref="A2:I2"/>
    <mergeCell ref="A31:I31"/>
    <mergeCell ref="B5:C5"/>
  </mergeCells>
  <conditionalFormatting sqref="H9:H28">
    <cfRule type="cellIs" dxfId="5" priority="1" operator="equal">
      <formula>"Tuntas"</formula>
    </cfRule>
    <cfRule type="cellIs" dxfId="4" priority="2" operator="equal">
      <formula>"Belum Tuntas"</formula>
    </cfRule>
  </conditionalFormatting>
  <dataValidations count="1">
    <dataValidation type="list" allowBlank="1" sqref="C9:C28" xr:uid="{00000000-0002-0000-0500-000000000000}">
      <formula1>"L,P"</formula1>
    </dataValidation>
  </dataValidation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xr:uid="{00000000-0002-0000-0500-000001000000}">
          <x14:formula1>
            <xm:f>0</xm:f>
          </x14:formula1>
          <x14:formula2>
            <xm:f>'FORMAT PENILAIAN'!$B$6</xm:f>
          </x14:formula2>
          <xm:sqref>D9:K48 M9:M48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60"/>
  <sheetViews>
    <sheetView showGridLines="0" zoomScale="90" workbookViewId="0">
      <pane xSplit="3" ySplit="8" topLeftCell="D9" activePane="bottomRight" state="frozen"/>
      <selection pane="topRight"/>
      <selection pane="bottomLeft"/>
      <selection pane="bottomRight" activeCell="F14" sqref="F14"/>
    </sheetView>
  </sheetViews>
  <sheetFormatPr defaultRowHeight="14.4" x14ac:dyDescent="0.3"/>
  <cols>
    <col min="1" max="1" width="21.88671875" bestFit="1" customWidth="1"/>
    <col min="2" max="2" width="43.33203125" bestFit="1" customWidth="1"/>
    <col min="3" max="3" width="8" customWidth="1"/>
    <col min="4" max="4" width="16" bestFit="1" customWidth="1"/>
    <col min="5" max="6" width="14" customWidth="1"/>
    <col min="7" max="7" width="14.109375" bestFit="1" customWidth="1"/>
    <col min="8" max="8" width="16" customWidth="1"/>
    <col min="9" max="9" width="48" customWidth="1"/>
    <col min="10" max="11" width="15" customWidth="1"/>
    <col min="12" max="14" width="14" customWidth="1"/>
    <col min="15" max="15" width="10" customWidth="1"/>
    <col min="16" max="16" width="16" customWidth="1"/>
    <col min="17" max="17" width="48" customWidth="1"/>
  </cols>
  <sheetData>
    <row r="1" spans="1:17" ht="18.600000000000001" x14ac:dyDescent="0.3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10"/>
      <c r="K1" s="10"/>
      <c r="L1" s="10"/>
      <c r="M1" s="10"/>
      <c r="N1" s="10"/>
      <c r="O1" s="10"/>
      <c r="P1" s="10"/>
      <c r="Q1" s="10"/>
    </row>
    <row r="2" spans="1:17" ht="16.8" x14ac:dyDescent="0.3">
      <c r="A2" s="34" t="s">
        <v>2</v>
      </c>
      <c r="B2" s="31"/>
      <c r="C2" s="31"/>
      <c r="D2" s="31"/>
      <c r="E2" s="31"/>
      <c r="F2" s="31"/>
      <c r="G2" s="31"/>
      <c r="H2" s="31"/>
      <c r="I2" s="31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1" t="s">
        <v>53</v>
      </c>
      <c r="B4" s="12" t="s">
        <v>175</v>
      </c>
      <c r="C4" s="10"/>
      <c r="D4" s="11" t="s">
        <v>17</v>
      </c>
      <c r="E4" s="23" t="str">
        <f>'IDENTITAS SEKOLAH'!B8</f>
        <v>2026/2027</v>
      </c>
      <c r="F4" s="10"/>
      <c r="G4" s="11" t="s">
        <v>19</v>
      </c>
      <c r="H4" s="23" t="str">
        <f>'IDENTITAS SEKOLAH'!B9</f>
        <v>Ganjil</v>
      </c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1" t="s">
        <v>23</v>
      </c>
      <c r="B5" s="37">
        <f>'IDENTITAS SEKOLAH'!B11</f>
        <v>0</v>
      </c>
      <c r="C5" s="31"/>
      <c r="D5" s="11" t="s">
        <v>31</v>
      </c>
      <c r="E5" s="25">
        <f>'FORMAT PENILAIAN'!B5</f>
        <v>75</v>
      </c>
      <c r="F5" s="10"/>
      <c r="G5" s="11" t="s">
        <v>55</v>
      </c>
      <c r="H5" s="24">
        <f>'FORMAT PENILAIAN'!H14</f>
        <v>100</v>
      </c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4" t="s">
        <v>39</v>
      </c>
      <c r="B8" s="4" t="s">
        <v>56</v>
      </c>
      <c r="C8" s="4" t="s">
        <v>57</v>
      </c>
      <c r="D8" s="4" t="s">
        <v>49</v>
      </c>
      <c r="E8" s="4" t="s">
        <v>45</v>
      </c>
      <c r="F8" s="4" t="s">
        <v>58</v>
      </c>
      <c r="G8" s="4" t="s">
        <v>59</v>
      </c>
      <c r="H8" s="4" t="s">
        <v>60</v>
      </c>
      <c r="I8" s="4" t="s">
        <v>61</v>
      </c>
      <c r="J8" s="10"/>
      <c r="K8" s="10"/>
      <c r="L8" s="10"/>
      <c r="M8" s="10"/>
      <c r="N8" s="10"/>
      <c r="O8" s="10"/>
      <c r="P8" s="10"/>
      <c r="Q8" s="10"/>
    </row>
    <row r="9" spans="1:17" ht="19.95" customHeight="1" x14ac:dyDescent="0.3">
      <c r="A9" s="18">
        <v>1</v>
      </c>
      <c r="B9" s="16" t="s">
        <v>176</v>
      </c>
      <c r="C9" s="21" t="s">
        <v>63</v>
      </c>
      <c r="D9" s="17"/>
      <c r="E9" s="17"/>
      <c r="F9" s="19">
        <f>IF(B9="","",IF('FORMAT PENILAIAN'!$H$14&lt;&gt;100,"",ROUND(D9*'FORMAT PENILAIAN'!$C$15/100+E9*'FORMAT PENILAIAN'!$C$16/100,2)))</f>
        <v>0</v>
      </c>
      <c r="G9" s="20" t="str">
        <f>IF(F9="","",IF(F9&gt;='FORMAT PENILAIAN'!$B$8,"A",IF(F9&gt;='FORMAT PENILAIAN'!$B$9,"B",IF(F9&gt;='FORMAT PENILAIAN'!$B$10,"C","D"))))</f>
        <v>D</v>
      </c>
      <c r="H9" s="20" t="str">
        <f>IF(F9="","",IF(F9&gt;='FORMAT PENILAIAN'!$B$5,"Tuntas","Belum Tuntas"))</f>
        <v>Belum Tuntas</v>
      </c>
      <c r="I9" s="20" t="str">
        <f t="shared" ref="I9:I34" si="0">IF(F9="","",IF(G9="A","Penguasaan kompetensi sangat baik.",IF(G9="B","Penguasaan kompetensi baik.",IF(G9="C","Penguasaan kompetensi cukup dan masih perlu penguatan.","Belum mencapai KKM."))))</f>
        <v>Belum mencapai KKM.</v>
      </c>
      <c r="J9" s="10"/>
      <c r="K9" s="10"/>
      <c r="L9" s="10"/>
      <c r="M9" s="10"/>
      <c r="N9" s="10"/>
      <c r="O9" s="10"/>
      <c r="P9" s="10"/>
      <c r="Q9" s="10"/>
    </row>
    <row r="10" spans="1:17" ht="19.95" customHeight="1" x14ac:dyDescent="0.3">
      <c r="A10" s="18">
        <v>2</v>
      </c>
      <c r="B10" s="16" t="s">
        <v>177</v>
      </c>
      <c r="C10" s="21" t="s">
        <v>63</v>
      </c>
      <c r="D10" s="17"/>
      <c r="E10" s="17"/>
      <c r="F10" s="19">
        <f>IF(B10="","",IF('FORMAT PENILAIAN'!$H$14&lt;&gt;100,"",ROUND(D10*'FORMAT PENILAIAN'!$C$15/100+E10*'FORMAT PENILAIAN'!$C$16/100,2)))</f>
        <v>0</v>
      </c>
      <c r="G10" s="20" t="str">
        <f>IF(F10="","",IF(F10&gt;='FORMAT PENILAIAN'!$B$8,"A",IF(F10&gt;='FORMAT PENILAIAN'!$B$9,"B",IF(F10&gt;='FORMAT PENILAIAN'!$B$10,"C","D"))))</f>
        <v>D</v>
      </c>
      <c r="H10" s="20" t="str">
        <f>IF(F10="","",IF(F10&gt;='FORMAT PENILAIAN'!$B$5,"Tuntas","Belum Tuntas"))</f>
        <v>Belum Tuntas</v>
      </c>
      <c r="I10" s="20" t="str">
        <f t="shared" si="0"/>
        <v>Belum mencapai KKM.</v>
      </c>
      <c r="J10" s="10"/>
      <c r="K10" s="10"/>
      <c r="L10" s="10"/>
      <c r="M10" s="10"/>
      <c r="N10" s="10"/>
      <c r="O10" s="10"/>
      <c r="P10" s="10"/>
      <c r="Q10" s="10"/>
    </row>
    <row r="11" spans="1:17" ht="19.95" customHeight="1" x14ac:dyDescent="0.3">
      <c r="A11" s="18">
        <v>3</v>
      </c>
      <c r="B11" s="16" t="s">
        <v>178</v>
      </c>
      <c r="C11" s="21" t="s">
        <v>63</v>
      </c>
      <c r="D11" s="17"/>
      <c r="E11" s="17"/>
      <c r="F11" s="19">
        <f>IF(B11="","",IF('FORMAT PENILAIAN'!$H$14&lt;&gt;100,"",ROUND(D11*'FORMAT PENILAIAN'!$C$15/100+E11*'FORMAT PENILAIAN'!$C$16/100,2)))</f>
        <v>0</v>
      </c>
      <c r="G11" s="20" t="str">
        <f>IF(F11="","",IF(F11&gt;='FORMAT PENILAIAN'!$B$8,"A",IF(F11&gt;='FORMAT PENILAIAN'!$B$9,"B",IF(F11&gt;='FORMAT PENILAIAN'!$B$10,"C","D"))))</f>
        <v>D</v>
      </c>
      <c r="H11" s="20" t="str">
        <f>IF(F11="","",IF(F11&gt;='FORMAT PENILAIAN'!$B$5,"Tuntas","Belum Tuntas"))</f>
        <v>Belum Tuntas</v>
      </c>
      <c r="I11" s="20" t="str">
        <f t="shared" si="0"/>
        <v>Belum mencapai KKM.</v>
      </c>
      <c r="J11" s="10"/>
      <c r="K11" s="10"/>
      <c r="L11" s="10"/>
      <c r="M11" s="10"/>
      <c r="N11" s="10"/>
      <c r="O11" s="10"/>
      <c r="P11" s="10"/>
      <c r="Q11" s="10"/>
    </row>
    <row r="12" spans="1:17" ht="19.95" customHeight="1" x14ac:dyDescent="0.3">
      <c r="A12" s="18">
        <v>4</v>
      </c>
      <c r="B12" s="16" t="s">
        <v>179</v>
      </c>
      <c r="C12" s="21" t="s">
        <v>63</v>
      </c>
      <c r="D12" s="17"/>
      <c r="E12" s="17"/>
      <c r="F12" s="19">
        <f>IF(B12="","",IF('FORMAT PENILAIAN'!$H$14&lt;&gt;100,"",ROUND(D12*'FORMAT PENILAIAN'!$C$15/100+E12*'FORMAT PENILAIAN'!$C$16/100,2)))</f>
        <v>0</v>
      </c>
      <c r="G12" s="20" t="str">
        <f>IF(F12="","",IF(F12&gt;='FORMAT PENILAIAN'!$B$8,"A",IF(F12&gt;='FORMAT PENILAIAN'!$B$9,"B",IF(F12&gt;='FORMAT PENILAIAN'!$B$10,"C","D"))))</f>
        <v>D</v>
      </c>
      <c r="H12" s="20" t="str">
        <f>IF(F12="","",IF(F12&gt;='FORMAT PENILAIAN'!$B$5,"Tuntas","Belum Tuntas"))</f>
        <v>Belum Tuntas</v>
      </c>
      <c r="I12" s="20" t="str">
        <f t="shared" si="0"/>
        <v>Belum mencapai KKM.</v>
      </c>
      <c r="J12" s="10"/>
      <c r="K12" s="10"/>
      <c r="L12" s="10"/>
      <c r="M12" s="10"/>
      <c r="N12" s="10"/>
      <c r="O12" s="10"/>
      <c r="P12" s="10"/>
      <c r="Q12" s="10"/>
    </row>
    <row r="13" spans="1:17" ht="19.95" customHeight="1" x14ac:dyDescent="0.3">
      <c r="A13" s="18">
        <v>5</v>
      </c>
      <c r="B13" s="16" t="s">
        <v>180</v>
      </c>
      <c r="C13" s="21" t="s">
        <v>63</v>
      </c>
      <c r="D13" s="17"/>
      <c r="E13" s="17"/>
      <c r="F13" s="19">
        <f>IF(B13="","",IF('FORMAT PENILAIAN'!$H$14&lt;&gt;100,"",ROUND(D13*'FORMAT PENILAIAN'!$C$15/100+E13*'FORMAT PENILAIAN'!$C$16/100,2)))</f>
        <v>0</v>
      </c>
      <c r="G13" s="20" t="str">
        <f>IF(F13="","",IF(F13&gt;='FORMAT PENILAIAN'!$B$8,"A",IF(F13&gt;='FORMAT PENILAIAN'!$B$9,"B",IF(F13&gt;='FORMAT PENILAIAN'!$B$10,"C","D"))))</f>
        <v>D</v>
      </c>
      <c r="H13" s="20" t="str">
        <f>IF(F13="","",IF(F13&gt;='FORMAT PENILAIAN'!$B$5,"Tuntas","Belum Tuntas"))</f>
        <v>Belum Tuntas</v>
      </c>
      <c r="I13" s="20" t="str">
        <f t="shared" si="0"/>
        <v>Belum mencapai KKM.</v>
      </c>
      <c r="J13" s="10"/>
      <c r="K13" s="10"/>
      <c r="L13" s="10"/>
      <c r="M13" s="10"/>
      <c r="N13" s="10"/>
      <c r="O13" s="10"/>
      <c r="P13" s="10"/>
      <c r="Q13" s="10"/>
    </row>
    <row r="14" spans="1:17" ht="19.95" customHeight="1" x14ac:dyDescent="0.3">
      <c r="A14" s="18">
        <v>6</v>
      </c>
      <c r="B14" s="16" t="s">
        <v>181</v>
      </c>
      <c r="C14" s="21" t="s">
        <v>63</v>
      </c>
      <c r="D14" s="17"/>
      <c r="E14" s="17"/>
      <c r="F14" s="19">
        <f>IF(B14="","",IF('FORMAT PENILAIAN'!$H$14&lt;&gt;100,"",ROUND(D14*'FORMAT PENILAIAN'!$C$15/100+E14*'FORMAT PENILAIAN'!$C$16/100,2)))</f>
        <v>0</v>
      </c>
      <c r="G14" s="20" t="str">
        <f>IF(F14="","",IF(F14&gt;='FORMAT PENILAIAN'!$B$8,"A",IF(F14&gt;='FORMAT PENILAIAN'!$B$9,"B",IF(F14&gt;='FORMAT PENILAIAN'!$B$10,"C","D"))))</f>
        <v>D</v>
      </c>
      <c r="H14" s="20" t="str">
        <f>IF(F14="","",IF(F14&gt;='FORMAT PENILAIAN'!$B$5,"Tuntas","Belum Tuntas"))</f>
        <v>Belum Tuntas</v>
      </c>
      <c r="I14" s="20" t="str">
        <f t="shared" si="0"/>
        <v>Belum mencapai KKM.</v>
      </c>
      <c r="J14" s="10"/>
      <c r="K14" s="10"/>
      <c r="L14" s="10"/>
      <c r="M14" s="10"/>
      <c r="N14" s="10"/>
      <c r="O14" s="10"/>
      <c r="P14" s="10"/>
      <c r="Q14" s="10"/>
    </row>
    <row r="15" spans="1:17" ht="19.95" customHeight="1" x14ac:dyDescent="0.3">
      <c r="A15" s="18">
        <v>7</v>
      </c>
      <c r="B15" s="16" t="s">
        <v>182</v>
      </c>
      <c r="C15" s="21" t="s">
        <v>63</v>
      </c>
      <c r="D15" s="17"/>
      <c r="E15" s="17"/>
      <c r="F15" s="19">
        <f>IF(B15="","",IF('FORMAT PENILAIAN'!$H$14&lt;&gt;100,"",ROUND(D15*'FORMAT PENILAIAN'!$C$15/100+E15*'FORMAT PENILAIAN'!$C$16/100,2)))</f>
        <v>0</v>
      </c>
      <c r="G15" s="20" t="str">
        <f>IF(F15="","",IF(F15&gt;='FORMAT PENILAIAN'!$B$8,"A",IF(F15&gt;='FORMAT PENILAIAN'!$B$9,"B",IF(F15&gt;='FORMAT PENILAIAN'!$B$10,"C","D"))))</f>
        <v>D</v>
      </c>
      <c r="H15" s="20" t="str">
        <f>IF(F15="","",IF(F15&gt;='FORMAT PENILAIAN'!$B$5,"Tuntas","Belum Tuntas"))</f>
        <v>Belum Tuntas</v>
      </c>
      <c r="I15" s="20" t="str">
        <f t="shared" si="0"/>
        <v>Belum mencapai KKM.</v>
      </c>
      <c r="J15" s="10"/>
      <c r="K15" s="10"/>
      <c r="L15" s="10"/>
      <c r="M15" s="10"/>
      <c r="N15" s="10"/>
      <c r="O15" s="10"/>
      <c r="P15" s="10"/>
      <c r="Q15" s="10"/>
    </row>
    <row r="16" spans="1:17" ht="19.95" customHeight="1" x14ac:dyDescent="0.3">
      <c r="A16" s="18">
        <v>8</v>
      </c>
      <c r="B16" s="16" t="s">
        <v>183</v>
      </c>
      <c r="C16" s="21" t="s">
        <v>63</v>
      </c>
      <c r="D16" s="17"/>
      <c r="E16" s="17"/>
      <c r="F16" s="19">
        <f>IF(B16="","",IF('FORMAT PENILAIAN'!$H$14&lt;&gt;100,"",ROUND(D16*'FORMAT PENILAIAN'!$C$15/100+E16*'FORMAT PENILAIAN'!$C$16/100,2)))</f>
        <v>0</v>
      </c>
      <c r="G16" s="20" t="str">
        <f>IF(F16="","",IF(F16&gt;='FORMAT PENILAIAN'!$B$8,"A",IF(F16&gt;='FORMAT PENILAIAN'!$B$9,"B",IF(F16&gt;='FORMAT PENILAIAN'!$B$10,"C","D"))))</f>
        <v>D</v>
      </c>
      <c r="H16" s="20" t="str">
        <f>IF(F16="","",IF(F16&gt;='FORMAT PENILAIAN'!$B$5,"Tuntas","Belum Tuntas"))</f>
        <v>Belum Tuntas</v>
      </c>
      <c r="I16" s="20" t="str">
        <f t="shared" si="0"/>
        <v>Belum mencapai KKM.</v>
      </c>
      <c r="J16" s="10"/>
      <c r="K16" s="10"/>
      <c r="L16" s="10"/>
      <c r="M16" s="10"/>
      <c r="N16" s="10"/>
      <c r="O16" s="10"/>
      <c r="P16" s="10"/>
      <c r="Q16" s="10"/>
    </row>
    <row r="17" spans="1:17" ht="19.95" customHeight="1" x14ac:dyDescent="0.3">
      <c r="A17" s="18">
        <v>9</v>
      </c>
      <c r="B17" s="16" t="s">
        <v>184</v>
      </c>
      <c r="C17" s="21" t="s">
        <v>63</v>
      </c>
      <c r="D17" s="17"/>
      <c r="E17" s="17"/>
      <c r="F17" s="19">
        <f>IF(B17="","",IF('FORMAT PENILAIAN'!$H$14&lt;&gt;100,"",ROUND(D17*'FORMAT PENILAIAN'!$C$15/100+E17*'FORMAT PENILAIAN'!$C$16/100,2)))</f>
        <v>0</v>
      </c>
      <c r="G17" s="20" t="str">
        <f>IF(F17="","",IF(F17&gt;='FORMAT PENILAIAN'!$B$8,"A",IF(F17&gt;='FORMAT PENILAIAN'!$B$9,"B",IF(F17&gt;='FORMAT PENILAIAN'!$B$10,"C","D"))))</f>
        <v>D</v>
      </c>
      <c r="H17" s="20" t="str">
        <f>IF(F17="","",IF(F17&gt;='FORMAT PENILAIAN'!$B$5,"Tuntas","Belum Tuntas"))</f>
        <v>Belum Tuntas</v>
      </c>
      <c r="I17" s="20" t="str">
        <f t="shared" si="0"/>
        <v>Belum mencapai KKM.</v>
      </c>
      <c r="J17" s="10"/>
      <c r="K17" s="10"/>
      <c r="L17" s="10"/>
      <c r="M17" s="10"/>
      <c r="N17" s="10"/>
      <c r="O17" s="10"/>
      <c r="P17" s="10"/>
      <c r="Q17" s="10"/>
    </row>
    <row r="18" spans="1:17" ht="19.95" customHeight="1" x14ac:dyDescent="0.3">
      <c r="A18" s="18">
        <v>10</v>
      </c>
      <c r="B18" s="16" t="s">
        <v>185</v>
      </c>
      <c r="C18" s="21" t="s">
        <v>63</v>
      </c>
      <c r="D18" s="17"/>
      <c r="E18" s="17"/>
      <c r="F18" s="19">
        <f>IF(B18="","",IF('FORMAT PENILAIAN'!$H$14&lt;&gt;100,"",ROUND(D18*'FORMAT PENILAIAN'!$C$15/100+E18*'FORMAT PENILAIAN'!$C$16/100,2)))</f>
        <v>0</v>
      </c>
      <c r="G18" s="20" t="str">
        <f>IF(F18="","",IF(F18&gt;='FORMAT PENILAIAN'!$B$8,"A",IF(F18&gt;='FORMAT PENILAIAN'!$B$9,"B",IF(F18&gt;='FORMAT PENILAIAN'!$B$10,"C","D"))))</f>
        <v>D</v>
      </c>
      <c r="H18" s="20" t="str">
        <f>IF(F18="","",IF(F18&gt;='FORMAT PENILAIAN'!$B$5,"Tuntas","Belum Tuntas"))</f>
        <v>Belum Tuntas</v>
      </c>
      <c r="I18" s="20" t="str">
        <f t="shared" si="0"/>
        <v>Belum mencapai KKM.</v>
      </c>
      <c r="J18" s="10"/>
      <c r="K18" s="10"/>
      <c r="L18" s="10"/>
      <c r="M18" s="10"/>
      <c r="N18" s="10"/>
      <c r="O18" s="10"/>
      <c r="P18" s="10"/>
      <c r="Q18" s="10"/>
    </row>
    <row r="19" spans="1:17" ht="19.95" customHeight="1" x14ac:dyDescent="0.3">
      <c r="A19" s="18">
        <v>11</v>
      </c>
      <c r="B19" s="16" t="s">
        <v>186</v>
      </c>
      <c r="C19" s="21" t="s">
        <v>63</v>
      </c>
      <c r="D19" s="17"/>
      <c r="E19" s="17"/>
      <c r="F19" s="19">
        <f>IF(B19="","",IF('FORMAT PENILAIAN'!$H$14&lt;&gt;100,"",ROUND(D19*'FORMAT PENILAIAN'!$C$15/100+E19*'FORMAT PENILAIAN'!$C$16/100,2)))</f>
        <v>0</v>
      </c>
      <c r="G19" s="20" t="str">
        <f>IF(F19="","",IF(F19&gt;='FORMAT PENILAIAN'!$B$8,"A",IF(F19&gt;='FORMAT PENILAIAN'!$B$9,"B",IF(F19&gt;='FORMAT PENILAIAN'!$B$10,"C","D"))))</f>
        <v>D</v>
      </c>
      <c r="H19" s="20" t="str">
        <f>IF(F19="","",IF(F19&gt;='FORMAT PENILAIAN'!$B$5,"Tuntas","Belum Tuntas"))</f>
        <v>Belum Tuntas</v>
      </c>
      <c r="I19" s="20" t="str">
        <f t="shared" si="0"/>
        <v>Belum mencapai KKM.</v>
      </c>
      <c r="J19" s="10"/>
      <c r="K19" s="10"/>
      <c r="L19" s="10"/>
      <c r="M19" s="10"/>
      <c r="N19" s="10"/>
      <c r="O19" s="10"/>
      <c r="P19" s="10"/>
      <c r="Q19" s="10"/>
    </row>
    <row r="20" spans="1:17" ht="19.95" customHeight="1" x14ac:dyDescent="0.3">
      <c r="A20" s="18">
        <v>12</v>
      </c>
      <c r="B20" s="16" t="s">
        <v>187</v>
      </c>
      <c r="C20" s="21" t="s">
        <v>63</v>
      </c>
      <c r="D20" s="17"/>
      <c r="E20" s="17"/>
      <c r="F20" s="19">
        <f>IF(B20="","",IF('FORMAT PENILAIAN'!$H$14&lt;&gt;100,"",ROUND(D20*'FORMAT PENILAIAN'!$C$15/100+E20*'FORMAT PENILAIAN'!$C$16/100,2)))</f>
        <v>0</v>
      </c>
      <c r="G20" s="20" t="str">
        <f>IF(F20="","",IF(F20&gt;='FORMAT PENILAIAN'!$B$8,"A",IF(F20&gt;='FORMAT PENILAIAN'!$B$9,"B",IF(F20&gt;='FORMAT PENILAIAN'!$B$10,"C","D"))))</f>
        <v>D</v>
      </c>
      <c r="H20" s="20" t="str">
        <f>IF(F20="","",IF(F20&gt;='FORMAT PENILAIAN'!$B$5,"Tuntas","Belum Tuntas"))</f>
        <v>Belum Tuntas</v>
      </c>
      <c r="I20" s="20" t="str">
        <f t="shared" si="0"/>
        <v>Belum mencapai KKM.</v>
      </c>
      <c r="J20" s="10"/>
      <c r="K20" s="10"/>
      <c r="L20" s="10"/>
      <c r="M20" s="10"/>
      <c r="N20" s="10"/>
      <c r="O20" s="10"/>
      <c r="P20" s="10"/>
      <c r="Q20" s="10"/>
    </row>
    <row r="21" spans="1:17" ht="19.95" customHeight="1" x14ac:dyDescent="0.3">
      <c r="A21" s="18">
        <v>13</v>
      </c>
      <c r="B21" s="16" t="s">
        <v>188</v>
      </c>
      <c r="C21" s="21" t="s">
        <v>63</v>
      </c>
      <c r="D21" s="17"/>
      <c r="E21" s="17"/>
      <c r="F21" s="19">
        <f>IF(B21="","",IF('FORMAT PENILAIAN'!$H$14&lt;&gt;100,"",ROUND(D21*'FORMAT PENILAIAN'!$C$15/100+E21*'FORMAT PENILAIAN'!$C$16/100,2)))</f>
        <v>0</v>
      </c>
      <c r="G21" s="20" t="str">
        <f>IF(F21="","",IF(F21&gt;='FORMAT PENILAIAN'!$B$8,"A",IF(F21&gt;='FORMAT PENILAIAN'!$B$9,"B",IF(F21&gt;='FORMAT PENILAIAN'!$B$10,"C","D"))))</f>
        <v>D</v>
      </c>
      <c r="H21" s="20" t="str">
        <f>IF(F21="","",IF(F21&gt;='FORMAT PENILAIAN'!$B$5,"Tuntas","Belum Tuntas"))</f>
        <v>Belum Tuntas</v>
      </c>
      <c r="I21" s="20" t="str">
        <f t="shared" si="0"/>
        <v>Belum mencapai KKM.</v>
      </c>
      <c r="J21" s="10"/>
      <c r="K21" s="10"/>
      <c r="L21" s="10"/>
      <c r="M21" s="10"/>
      <c r="N21" s="10"/>
      <c r="O21" s="10"/>
      <c r="P21" s="10"/>
      <c r="Q21" s="10"/>
    </row>
    <row r="22" spans="1:17" ht="19.95" customHeight="1" x14ac:dyDescent="0.3">
      <c r="A22" s="18">
        <v>14</v>
      </c>
      <c r="B22" s="16" t="s">
        <v>189</v>
      </c>
      <c r="C22" s="21" t="s">
        <v>63</v>
      </c>
      <c r="D22" s="17"/>
      <c r="E22" s="17"/>
      <c r="F22" s="19">
        <f>IF(B22="","",IF('FORMAT PENILAIAN'!$H$14&lt;&gt;100,"",ROUND(D22*'FORMAT PENILAIAN'!$C$15/100+E22*'FORMAT PENILAIAN'!$C$16/100,2)))</f>
        <v>0</v>
      </c>
      <c r="G22" s="20" t="str">
        <f>IF(F22="","",IF(F22&gt;='FORMAT PENILAIAN'!$B$8,"A",IF(F22&gt;='FORMAT PENILAIAN'!$B$9,"B",IF(F22&gt;='FORMAT PENILAIAN'!$B$10,"C","D"))))</f>
        <v>D</v>
      </c>
      <c r="H22" s="20" t="str">
        <f>IF(F22="","",IF(F22&gt;='FORMAT PENILAIAN'!$B$5,"Tuntas","Belum Tuntas"))</f>
        <v>Belum Tuntas</v>
      </c>
      <c r="I22" s="20" t="str">
        <f t="shared" si="0"/>
        <v>Belum mencapai KKM.</v>
      </c>
      <c r="J22" s="10"/>
      <c r="K22" s="10"/>
      <c r="L22" s="10"/>
      <c r="M22" s="10"/>
      <c r="N22" s="10"/>
      <c r="O22" s="10"/>
      <c r="P22" s="10"/>
      <c r="Q22" s="10"/>
    </row>
    <row r="23" spans="1:17" ht="19.95" customHeight="1" x14ac:dyDescent="0.3">
      <c r="A23" s="18">
        <v>15</v>
      </c>
      <c r="B23" s="16" t="s">
        <v>190</v>
      </c>
      <c r="C23" s="21" t="s">
        <v>63</v>
      </c>
      <c r="D23" s="17"/>
      <c r="E23" s="17"/>
      <c r="F23" s="19">
        <f>IF(B23="","",IF('FORMAT PENILAIAN'!$H$14&lt;&gt;100,"",ROUND(D23*'FORMAT PENILAIAN'!$C$15/100+E23*'FORMAT PENILAIAN'!$C$16/100,2)))</f>
        <v>0</v>
      </c>
      <c r="G23" s="20" t="str">
        <f>IF(F23="","",IF(F23&gt;='FORMAT PENILAIAN'!$B$8,"A",IF(F23&gt;='FORMAT PENILAIAN'!$B$9,"B",IF(F23&gt;='FORMAT PENILAIAN'!$B$10,"C","D"))))</f>
        <v>D</v>
      </c>
      <c r="H23" s="20" t="str">
        <f>IF(F23="","",IF(F23&gt;='FORMAT PENILAIAN'!$B$5,"Tuntas","Belum Tuntas"))</f>
        <v>Belum Tuntas</v>
      </c>
      <c r="I23" s="20" t="str">
        <f t="shared" si="0"/>
        <v>Belum mencapai KKM.</v>
      </c>
      <c r="J23" s="10"/>
      <c r="K23" s="10"/>
      <c r="L23" s="10"/>
      <c r="M23" s="10"/>
      <c r="N23" s="10"/>
      <c r="O23" s="10"/>
      <c r="P23" s="10"/>
      <c r="Q23" s="10"/>
    </row>
    <row r="24" spans="1:17" ht="19.95" customHeight="1" x14ac:dyDescent="0.3">
      <c r="A24" s="18">
        <v>16</v>
      </c>
      <c r="B24" s="16" t="s">
        <v>191</v>
      </c>
      <c r="C24" s="21" t="s">
        <v>63</v>
      </c>
      <c r="D24" s="17"/>
      <c r="E24" s="17"/>
      <c r="F24" s="19">
        <f>IF(B24="","",IF('FORMAT PENILAIAN'!$H$14&lt;&gt;100,"",ROUND(D24*'FORMAT PENILAIAN'!$C$15/100+E24*'FORMAT PENILAIAN'!$C$16/100,2)))</f>
        <v>0</v>
      </c>
      <c r="G24" s="20" t="str">
        <f>IF(F24="","",IF(F24&gt;='FORMAT PENILAIAN'!$B$8,"A",IF(F24&gt;='FORMAT PENILAIAN'!$B$9,"B",IF(F24&gt;='FORMAT PENILAIAN'!$B$10,"C","D"))))</f>
        <v>D</v>
      </c>
      <c r="H24" s="20" t="str">
        <f>IF(F24="","",IF(F24&gt;='FORMAT PENILAIAN'!$B$5,"Tuntas","Belum Tuntas"))</f>
        <v>Belum Tuntas</v>
      </c>
      <c r="I24" s="20" t="str">
        <f t="shared" si="0"/>
        <v>Belum mencapai KKM.</v>
      </c>
      <c r="J24" s="10"/>
      <c r="K24" s="10"/>
      <c r="L24" s="10"/>
      <c r="M24" s="10"/>
      <c r="N24" s="10"/>
      <c r="O24" s="10"/>
      <c r="P24" s="10"/>
      <c r="Q24" s="10"/>
    </row>
    <row r="25" spans="1:17" ht="19.95" customHeight="1" x14ac:dyDescent="0.3">
      <c r="A25" s="18">
        <v>17</v>
      </c>
      <c r="B25" s="16" t="s">
        <v>192</v>
      </c>
      <c r="C25" s="21" t="s">
        <v>63</v>
      </c>
      <c r="D25" s="17"/>
      <c r="E25" s="17"/>
      <c r="F25" s="19">
        <f>IF(B25="","",IF('FORMAT PENILAIAN'!$H$14&lt;&gt;100,"",ROUND(D25*'FORMAT PENILAIAN'!$C$15/100+E25*'FORMAT PENILAIAN'!$C$16/100,2)))</f>
        <v>0</v>
      </c>
      <c r="G25" s="20" t="str">
        <f>IF(F25="","",IF(F25&gt;='FORMAT PENILAIAN'!$B$8,"A",IF(F25&gt;='FORMAT PENILAIAN'!$B$9,"B",IF(F25&gt;='FORMAT PENILAIAN'!$B$10,"C","D"))))</f>
        <v>D</v>
      </c>
      <c r="H25" s="20" t="str">
        <f>IF(F25="","",IF(F25&gt;='FORMAT PENILAIAN'!$B$5,"Tuntas","Belum Tuntas"))</f>
        <v>Belum Tuntas</v>
      </c>
      <c r="I25" s="20" t="str">
        <f t="shared" si="0"/>
        <v>Belum mencapai KKM.</v>
      </c>
      <c r="J25" s="10"/>
      <c r="K25" s="10"/>
      <c r="L25" s="10"/>
      <c r="M25" s="10"/>
      <c r="N25" s="10"/>
      <c r="O25" s="10"/>
      <c r="P25" s="10"/>
      <c r="Q25" s="10"/>
    </row>
    <row r="26" spans="1:17" ht="19.95" customHeight="1" x14ac:dyDescent="0.3">
      <c r="A26" s="18">
        <v>18</v>
      </c>
      <c r="B26" s="16" t="s">
        <v>193</v>
      </c>
      <c r="C26" s="21" t="s">
        <v>63</v>
      </c>
      <c r="D26" s="17"/>
      <c r="E26" s="17"/>
      <c r="F26" s="19">
        <f>IF(B26="","",IF('FORMAT PENILAIAN'!$H$14&lt;&gt;100,"",ROUND(D26*'FORMAT PENILAIAN'!$C$15/100+E26*'FORMAT PENILAIAN'!$C$16/100,2)))</f>
        <v>0</v>
      </c>
      <c r="G26" s="20" t="str">
        <f>IF(F26="","",IF(F26&gt;='FORMAT PENILAIAN'!$B$8,"A",IF(F26&gt;='FORMAT PENILAIAN'!$B$9,"B",IF(F26&gt;='FORMAT PENILAIAN'!$B$10,"C","D"))))</f>
        <v>D</v>
      </c>
      <c r="H26" s="20" t="str">
        <f>IF(F26="","",IF(F26&gt;='FORMAT PENILAIAN'!$B$5,"Tuntas","Belum Tuntas"))</f>
        <v>Belum Tuntas</v>
      </c>
      <c r="I26" s="20" t="str">
        <f t="shared" si="0"/>
        <v>Belum mencapai KKM.</v>
      </c>
      <c r="J26" s="10"/>
      <c r="K26" s="10"/>
      <c r="L26" s="10"/>
      <c r="M26" s="10"/>
      <c r="N26" s="10"/>
      <c r="O26" s="10"/>
      <c r="P26" s="10"/>
      <c r="Q26" s="10"/>
    </row>
    <row r="27" spans="1:17" ht="19.95" customHeight="1" x14ac:dyDescent="0.3">
      <c r="A27" s="18">
        <v>19</v>
      </c>
      <c r="B27" s="16" t="s">
        <v>194</v>
      </c>
      <c r="C27" s="21" t="s">
        <v>63</v>
      </c>
      <c r="D27" s="17"/>
      <c r="E27" s="17"/>
      <c r="F27" s="19">
        <f>IF(B27="","",IF('FORMAT PENILAIAN'!$H$14&lt;&gt;100,"",ROUND(D27*'FORMAT PENILAIAN'!$C$15/100+E27*'FORMAT PENILAIAN'!$C$16/100,2)))</f>
        <v>0</v>
      </c>
      <c r="G27" s="20" t="str">
        <f>IF(F27="","",IF(F27&gt;='FORMAT PENILAIAN'!$B$8,"A",IF(F27&gt;='FORMAT PENILAIAN'!$B$9,"B",IF(F27&gt;='FORMAT PENILAIAN'!$B$10,"C","D"))))</f>
        <v>D</v>
      </c>
      <c r="H27" s="20" t="str">
        <f>IF(F27="","",IF(F27&gt;='FORMAT PENILAIAN'!$B$5,"Tuntas","Belum Tuntas"))</f>
        <v>Belum Tuntas</v>
      </c>
      <c r="I27" s="20" t="str">
        <f t="shared" si="0"/>
        <v>Belum mencapai KKM.</v>
      </c>
      <c r="J27" s="10"/>
      <c r="K27" s="10"/>
      <c r="L27" s="10"/>
      <c r="M27" s="10"/>
      <c r="N27" s="10"/>
      <c r="O27" s="10"/>
      <c r="P27" s="10"/>
      <c r="Q27" s="10"/>
    </row>
    <row r="28" spans="1:17" ht="19.95" customHeight="1" x14ac:dyDescent="0.3">
      <c r="A28" s="18">
        <v>20</v>
      </c>
      <c r="B28" s="16" t="s">
        <v>195</v>
      </c>
      <c r="C28" s="21" t="s">
        <v>63</v>
      </c>
      <c r="D28" s="17"/>
      <c r="E28" s="17"/>
      <c r="F28" s="19">
        <f>IF(B28="","",IF('FORMAT PENILAIAN'!$H$14&lt;&gt;100,"",ROUND(D28*'FORMAT PENILAIAN'!$C$15/100+E28*'FORMAT PENILAIAN'!$C$16/100,2)))</f>
        <v>0</v>
      </c>
      <c r="G28" s="20" t="str">
        <f>IF(F28="","",IF(F28&gt;='FORMAT PENILAIAN'!$B$8,"A",IF(F28&gt;='FORMAT PENILAIAN'!$B$9,"B",IF(F28&gt;='FORMAT PENILAIAN'!$B$10,"C","D"))))</f>
        <v>D</v>
      </c>
      <c r="H28" s="20" t="str">
        <f>IF(F28="","",IF(F28&gt;='FORMAT PENILAIAN'!$B$5,"Tuntas","Belum Tuntas"))</f>
        <v>Belum Tuntas</v>
      </c>
      <c r="I28" s="20" t="str">
        <f t="shared" si="0"/>
        <v>Belum mencapai KKM.</v>
      </c>
      <c r="J28" s="10"/>
      <c r="K28" s="10"/>
      <c r="L28" s="10"/>
      <c r="M28" s="10"/>
      <c r="N28" s="10"/>
      <c r="O28" s="10"/>
      <c r="P28" s="10"/>
      <c r="Q28" s="10"/>
    </row>
    <row r="29" spans="1:17" ht="19.95" customHeight="1" x14ac:dyDescent="0.3">
      <c r="A29" s="18">
        <v>21</v>
      </c>
      <c r="B29" s="16" t="s">
        <v>196</v>
      </c>
      <c r="C29" s="21" t="s">
        <v>63</v>
      </c>
      <c r="D29" s="17"/>
      <c r="E29" s="17"/>
      <c r="F29" s="19">
        <f>IF(B29="","",IF('FORMAT PENILAIAN'!$H$14&lt;&gt;100,"",ROUND(D29*'FORMAT PENILAIAN'!$C$15/100+E29*'FORMAT PENILAIAN'!$C$16/100,2)))</f>
        <v>0</v>
      </c>
      <c r="G29" s="20" t="str">
        <f>IF(F29="","",IF(F29&gt;='FORMAT PENILAIAN'!$B$8,"A",IF(F29&gt;='FORMAT PENILAIAN'!$B$9,"B",IF(F29&gt;='FORMAT PENILAIAN'!$B$10,"C","D"))))</f>
        <v>D</v>
      </c>
      <c r="H29" s="20" t="str">
        <f>IF(F29="","",IF(F29&gt;='FORMAT PENILAIAN'!$B$5,"Tuntas","Belum Tuntas"))</f>
        <v>Belum Tuntas</v>
      </c>
      <c r="I29" s="20" t="str">
        <f t="shared" si="0"/>
        <v>Belum mencapai KKM.</v>
      </c>
      <c r="J29" s="10"/>
      <c r="K29" s="10"/>
      <c r="L29" s="10"/>
      <c r="M29" s="10"/>
      <c r="N29" s="10"/>
      <c r="O29" s="10"/>
      <c r="P29" s="10"/>
      <c r="Q29" s="10"/>
    </row>
    <row r="30" spans="1:17" ht="19.95" customHeight="1" x14ac:dyDescent="0.3">
      <c r="A30" s="18">
        <v>22</v>
      </c>
      <c r="B30" s="16" t="s">
        <v>197</v>
      </c>
      <c r="C30" s="21" t="s">
        <v>63</v>
      </c>
      <c r="D30" s="17"/>
      <c r="E30" s="17"/>
      <c r="F30" s="19">
        <f>IF(B30="","",IF('FORMAT PENILAIAN'!$H$14&lt;&gt;100,"",ROUND(D30*'FORMAT PENILAIAN'!$C$15/100+E30*'FORMAT PENILAIAN'!$C$16/100,2)))</f>
        <v>0</v>
      </c>
      <c r="G30" s="20" t="str">
        <f>IF(F30="","",IF(F30&gt;='FORMAT PENILAIAN'!$B$8,"A",IF(F30&gt;='FORMAT PENILAIAN'!$B$9,"B",IF(F30&gt;='FORMAT PENILAIAN'!$B$10,"C","D"))))</f>
        <v>D</v>
      </c>
      <c r="H30" s="20" t="str">
        <f>IF(F30="","",IF(F30&gt;='FORMAT PENILAIAN'!$B$5,"Tuntas","Belum Tuntas"))</f>
        <v>Belum Tuntas</v>
      </c>
      <c r="I30" s="20" t="str">
        <f t="shared" si="0"/>
        <v>Belum mencapai KKM.</v>
      </c>
      <c r="J30" s="10"/>
      <c r="K30" s="10"/>
      <c r="L30" s="10"/>
      <c r="M30" s="10"/>
      <c r="N30" s="10"/>
      <c r="O30" s="10"/>
      <c r="P30" s="10"/>
      <c r="Q30" s="10"/>
    </row>
    <row r="31" spans="1:17" ht="19.95" customHeight="1" x14ac:dyDescent="0.3">
      <c r="A31" s="18">
        <v>23</v>
      </c>
      <c r="B31" s="16" t="s">
        <v>198</v>
      </c>
      <c r="C31" s="21" t="s">
        <v>63</v>
      </c>
      <c r="D31" s="17"/>
      <c r="E31" s="17"/>
      <c r="F31" s="19">
        <f>IF(B31="","",IF('FORMAT PENILAIAN'!$H$14&lt;&gt;100,"",ROUND(D31*'FORMAT PENILAIAN'!$C$15/100+E31*'FORMAT PENILAIAN'!$C$16/100,2)))</f>
        <v>0</v>
      </c>
      <c r="G31" s="20" t="str">
        <f>IF(F31="","",IF(F31&gt;='FORMAT PENILAIAN'!$B$8,"A",IF(F31&gt;='FORMAT PENILAIAN'!$B$9,"B",IF(F31&gt;='FORMAT PENILAIAN'!$B$10,"C","D"))))</f>
        <v>D</v>
      </c>
      <c r="H31" s="20" t="str">
        <f>IF(F31="","",IF(F31&gt;='FORMAT PENILAIAN'!$B$5,"Tuntas","Belum Tuntas"))</f>
        <v>Belum Tuntas</v>
      </c>
      <c r="I31" s="20" t="str">
        <f t="shared" si="0"/>
        <v>Belum mencapai KKM.</v>
      </c>
      <c r="J31" s="10"/>
      <c r="K31" s="10"/>
      <c r="L31" s="10"/>
      <c r="M31" s="10"/>
      <c r="N31" s="10"/>
      <c r="O31" s="10"/>
      <c r="P31" s="10"/>
      <c r="Q31" s="10"/>
    </row>
    <row r="32" spans="1:17" ht="19.95" customHeight="1" x14ac:dyDescent="0.3">
      <c r="A32" s="18">
        <v>24</v>
      </c>
      <c r="B32" s="16" t="s">
        <v>199</v>
      </c>
      <c r="C32" s="21" t="s">
        <v>63</v>
      </c>
      <c r="D32" s="17"/>
      <c r="E32" s="17"/>
      <c r="F32" s="19">
        <f>IF(B32="","",IF('FORMAT PENILAIAN'!$H$14&lt;&gt;100,"",ROUND(D32*'FORMAT PENILAIAN'!$C$15/100+E32*'FORMAT PENILAIAN'!$C$16/100,2)))</f>
        <v>0</v>
      </c>
      <c r="G32" s="20" t="str">
        <f>IF(F32="","",IF(F32&gt;='FORMAT PENILAIAN'!$B$8,"A",IF(F32&gt;='FORMAT PENILAIAN'!$B$9,"B",IF(F32&gt;='FORMAT PENILAIAN'!$B$10,"C","D"))))</f>
        <v>D</v>
      </c>
      <c r="H32" s="20" t="str">
        <f>IF(F32="","",IF(F32&gt;='FORMAT PENILAIAN'!$B$5,"Tuntas","Belum Tuntas"))</f>
        <v>Belum Tuntas</v>
      </c>
      <c r="I32" s="20" t="str">
        <f t="shared" si="0"/>
        <v>Belum mencapai KKM.</v>
      </c>
      <c r="J32" s="10"/>
      <c r="K32" s="10"/>
      <c r="L32" s="10"/>
      <c r="M32" s="10"/>
      <c r="N32" s="10"/>
      <c r="O32" s="10"/>
      <c r="P32" s="10"/>
      <c r="Q32" s="10"/>
    </row>
    <row r="33" spans="1:17" ht="19.95" customHeight="1" x14ac:dyDescent="0.3">
      <c r="A33" s="18">
        <v>25</v>
      </c>
      <c r="B33" s="16" t="s">
        <v>200</v>
      </c>
      <c r="C33" s="21" t="s">
        <v>63</v>
      </c>
      <c r="D33" s="17"/>
      <c r="E33" s="17"/>
      <c r="F33" s="19">
        <f>IF(B33="","",IF('FORMAT PENILAIAN'!$H$14&lt;&gt;100,"",ROUND(D33*'FORMAT PENILAIAN'!$C$15/100+E33*'FORMAT PENILAIAN'!$C$16/100,2)))</f>
        <v>0</v>
      </c>
      <c r="G33" s="20" t="str">
        <f>IF(F33="","",IF(F33&gt;='FORMAT PENILAIAN'!$B$8,"A",IF(F33&gt;='FORMAT PENILAIAN'!$B$9,"B",IF(F33&gt;='FORMAT PENILAIAN'!$B$10,"C","D"))))</f>
        <v>D</v>
      </c>
      <c r="H33" s="20" t="str">
        <f>IF(F33="","",IF(F33&gt;='FORMAT PENILAIAN'!$B$5,"Tuntas","Belum Tuntas"))</f>
        <v>Belum Tuntas</v>
      </c>
      <c r="I33" s="20" t="str">
        <f t="shared" si="0"/>
        <v>Belum mencapai KKM.</v>
      </c>
      <c r="J33" s="10"/>
      <c r="K33" s="10"/>
      <c r="L33" s="10"/>
      <c r="M33" s="10"/>
      <c r="N33" s="10"/>
      <c r="O33" s="10"/>
      <c r="P33" s="10"/>
      <c r="Q33" s="10"/>
    </row>
    <row r="34" spans="1:17" ht="19.95" customHeight="1" x14ac:dyDescent="0.3">
      <c r="A34" s="18">
        <v>26</v>
      </c>
      <c r="B34" s="16" t="s">
        <v>201</v>
      </c>
      <c r="C34" s="21" t="s">
        <v>63</v>
      </c>
      <c r="D34" s="17"/>
      <c r="E34" s="17"/>
      <c r="F34" s="19">
        <f>IF(B34="","",IF('FORMAT PENILAIAN'!$H$14&lt;&gt;100,"",ROUND(D34*'FORMAT PENILAIAN'!$C$15/100+E34*'FORMAT PENILAIAN'!$C$16/100,2)))</f>
        <v>0</v>
      </c>
      <c r="G34" s="20" t="str">
        <f>IF(F34="","",IF(F34&gt;='FORMAT PENILAIAN'!$B$8,"A",IF(F34&gt;='FORMAT PENILAIAN'!$B$9,"B",IF(F34&gt;='FORMAT PENILAIAN'!$B$10,"C","D"))))</f>
        <v>D</v>
      </c>
      <c r="H34" s="20" t="str">
        <f>IF(F34="","",IF(F34&gt;='FORMAT PENILAIAN'!$B$5,"Tuntas","Belum Tuntas"))</f>
        <v>Belum Tuntas</v>
      </c>
      <c r="I34" s="20" t="str">
        <f t="shared" si="0"/>
        <v>Belum mencapai KKM.</v>
      </c>
      <c r="J34" s="10"/>
      <c r="K34" s="10"/>
      <c r="L34" s="10"/>
      <c r="M34" s="10"/>
      <c r="N34" s="10"/>
      <c r="O34" s="10"/>
      <c r="P34" s="10"/>
      <c r="Q34" s="10"/>
    </row>
    <row r="35" spans="1:17" ht="19.9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19.9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ht="19.95" customHeight="1" x14ac:dyDescent="0.3">
      <c r="A37" s="35" t="s">
        <v>95</v>
      </c>
      <c r="B37" s="36"/>
      <c r="C37" s="36"/>
      <c r="D37" s="36"/>
      <c r="E37" s="36"/>
      <c r="F37" s="36"/>
      <c r="G37" s="36"/>
      <c r="H37" s="36"/>
      <c r="I37" s="36"/>
      <c r="J37" s="10"/>
      <c r="K37" s="10"/>
      <c r="L37" s="10"/>
      <c r="M37" s="10"/>
      <c r="N37" s="10"/>
      <c r="O37" s="10"/>
      <c r="P37" s="10"/>
      <c r="Q37" s="10"/>
    </row>
    <row r="38" spans="1:17" ht="19.95" customHeight="1" x14ac:dyDescent="0.3">
      <c r="A38" s="11" t="s">
        <v>96</v>
      </c>
      <c r="B38" s="32">
        <f>COUNTIF(B9:B34,"&lt;&gt;")</f>
        <v>26</v>
      </c>
      <c r="C38" s="31"/>
      <c r="D38" s="10"/>
      <c r="E38" s="29" t="s">
        <v>59</v>
      </c>
      <c r="F38" s="29" t="s">
        <v>97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ht="19.95" customHeight="1" x14ac:dyDescent="0.3">
      <c r="A39" s="11" t="s">
        <v>98</v>
      </c>
      <c r="B39" s="32">
        <f>COUNTIF(H9:H34,"Tuntas")</f>
        <v>0</v>
      </c>
      <c r="C39" s="31"/>
      <c r="D39" s="10"/>
      <c r="E39" s="22" t="s">
        <v>99</v>
      </c>
      <c r="F39" s="22">
        <f>COUNTIF(G9:G34,E39)</f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9.95" customHeight="1" x14ac:dyDescent="0.3">
      <c r="A40" s="11" t="s">
        <v>100</v>
      </c>
      <c r="B40" s="32">
        <f>COUNTIF(H9:H34,"Belum Tuntas")</f>
        <v>26</v>
      </c>
      <c r="C40" s="31"/>
      <c r="D40" s="10"/>
      <c r="E40" s="22" t="s">
        <v>101</v>
      </c>
      <c r="F40" s="22">
        <f>COUNTIF(G9:G34,E40)</f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9.95" customHeight="1" x14ac:dyDescent="0.3">
      <c r="A41" s="11" t="s">
        <v>102</v>
      </c>
      <c r="B41" s="33">
        <f>IF(B38=0,0,B39/B38)</f>
        <v>0</v>
      </c>
      <c r="C41" s="31"/>
      <c r="D41" s="10"/>
      <c r="E41" s="22" t="s">
        <v>103</v>
      </c>
      <c r="F41" s="22">
        <f>COUNTIF(G9:G34,E41)</f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19.95" customHeight="1" x14ac:dyDescent="0.3">
      <c r="A42" s="11" t="s">
        <v>104</v>
      </c>
      <c r="B42" s="32">
        <f>IFERROR(AVERAGE(F9:F34),0)</f>
        <v>0</v>
      </c>
      <c r="C42" s="31"/>
      <c r="D42" s="10"/>
      <c r="E42" s="22" t="s">
        <v>105</v>
      </c>
      <c r="F42" s="22">
        <f>COUNTIF(G9:G34,E42)</f>
        <v>26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19.95" customHeight="1" x14ac:dyDescent="0.3">
      <c r="A43" s="11" t="s">
        <v>106</v>
      </c>
      <c r="B43" s="32">
        <f>IFERROR(MAX(F9:F34),0)</f>
        <v>0</v>
      </c>
      <c r="C43" s="3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9.95" customHeight="1" x14ac:dyDescent="0.3">
      <c r="A44" s="11" t="s">
        <v>107</v>
      </c>
      <c r="B44" s="32">
        <f ca="1">IFERROR(_xludf.MINIFS(F9:F34,F9:F34,"&gt;0"),0)</f>
        <v>0</v>
      </c>
      <c r="C44" s="3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19.9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t="19.9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19.95" customHeight="1" x14ac:dyDescent="0.3">
      <c r="J47" s="10"/>
      <c r="K47" s="10"/>
      <c r="L47" s="10"/>
      <c r="M47" s="10"/>
      <c r="N47" s="10"/>
      <c r="O47" s="10"/>
      <c r="P47" s="10"/>
      <c r="Q47" s="10"/>
    </row>
    <row r="48" spans="1:17" ht="19.95" customHeight="1" x14ac:dyDescent="0.3">
      <c r="J48" s="10"/>
      <c r="K48" s="10"/>
      <c r="L48" s="10"/>
      <c r="M48" s="10"/>
      <c r="N48" s="10"/>
      <c r="O48" s="10"/>
      <c r="P48" s="10"/>
      <c r="Q48" s="10"/>
    </row>
    <row r="49" spans="10:17" x14ac:dyDescent="0.3">
      <c r="J49" s="10"/>
      <c r="K49" s="10"/>
      <c r="L49" s="10"/>
      <c r="M49" s="10"/>
      <c r="N49" s="10"/>
      <c r="O49" s="10"/>
      <c r="P49" s="10"/>
      <c r="Q49" s="10"/>
    </row>
    <row r="50" spans="10:17" x14ac:dyDescent="0.3">
      <c r="J50" s="10"/>
      <c r="K50" s="10"/>
      <c r="L50" s="10"/>
      <c r="M50" s="10"/>
      <c r="N50" s="10"/>
      <c r="O50" s="10"/>
      <c r="P50" s="10"/>
      <c r="Q50" s="10"/>
    </row>
    <row r="51" spans="10:17" x14ac:dyDescent="0.3">
      <c r="J51" s="10"/>
      <c r="K51" s="10"/>
      <c r="L51" s="10"/>
      <c r="M51" s="10"/>
      <c r="N51" s="10"/>
      <c r="O51" s="10"/>
      <c r="P51" s="10"/>
      <c r="Q51" s="10"/>
    </row>
    <row r="52" spans="10:17" x14ac:dyDescent="0.3">
      <c r="J52" s="10"/>
      <c r="K52" s="10"/>
      <c r="L52" s="10"/>
      <c r="M52" s="10"/>
      <c r="N52" s="10"/>
      <c r="O52" s="10"/>
      <c r="P52" s="10"/>
      <c r="Q52" s="10"/>
    </row>
    <row r="53" spans="10:17" x14ac:dyDescent="0.3">
      <c r="J53" s="10"/>
      <c r="K53" s="10"/>
      <c r="L53" s="10"/>
      <c r="M53" s="10"/>
      <c r="N53" s="10"/>
      <c r="O53" s="10"/>
      <c r="P53" s="10"/>
      <c r="Q53" s="10"/>
    </row>
    <row r="54" spans="10:17" x14ac:dyDescent="0.3">
      <c r="J54" s="10"/>
      <c r="K54" s="10"/>
      <c r="L54" s="10"/>
      <c r="M54" s="10"/>
      <c r="N54" s="10"/>
      <c r="O54" s="10"/>
      <c r="P54" s="10"/>
      <c r="Q54" s="10"/>
    </row>
    <row r="55" spans="10:17" x14ac:dyDescent="0.3">
      <c r="J55" s="10"/>
      <c r="K55" s="10"/>
      <c r="L55" s="10"/>
      <c r="M55" s="10"/>
      <c r="N55" s="10"/>
      <c r="O55" s="10"/>
      <c r="P55" s="10"/>
      <c r="Q55" s="10"/>
    </row>
    <row r="56" spans="10:17" x14ac:dyDescent="0.3">
      <c r="J56" s="10"/>
      <c r="K56" s="10"/>
      <c r="L56" s="10"/>
      <c r="M56" s="10"/>
      <c r="N56" s="10"/>
      <c r="O56" s="10"/>
      <c r="P56" s="10"/>
      <c r="Q56" s="10"/>
    </row>
    <row r="57" spans="10:17" x14ac:dyDescent="0.3">
      <c r="J57" s="10"/>
      <c r="K57" s="10"/>
      <c r="L57" s="10"/>
      <c r="M57" s="10"/>
      <c r="N57" s="10"/>
      <c r="O57" s="10"/>
      <c r="P57" s="10"/>
      <c r="Q57" s="10"/>
    </row>
    <row r="58" spans="10:17" x14ac:dyDescent="0.3">
      <c r="J58" s="10"/>
      <c r="K58" s="10"/>
      <c r="L58" s="10"/>
      <c r="M58" s="10"/>
      <c r="N58" s="10"/>
      <c r="O58" s="10"/>
      <c r="P58" s="10"/>
      <c r="Q58" s="10"/>
    </row>
    <row r="59" spans="10:17" x14ac:dyDescent="0.3">
      <c r="J59" s="10"/>
      <c r="K59" s="10"/>
      <c r="L59" s="10"/>
      <c r="M59" s="10"/>
      <c r="N59" s="10"/>
      <c r="O59" s="10"/>
      <c r="P59" s="10"/>
      <c r="Q59" s="10"/>
    </row>
    <row r="60" spans="10:17" x14ac:dyDescent="0.3">
      <c r="J60" s="10"/>
      <c r="K60" s="10"/>
      <c r="L60" s="10"/>
      <c r="M60" s="10"/>
      <c r="N60" s="10"/>
      <c r="O60" s="10"/>
      <c r="P60" s="10"/>
      <c r="Q60" s="10"/>
    </row>
  </sheetData>
  <autoFilter ref="A8:I34" xr:uid="{00000000-0009-0000-0000-000006000000}"/>
  <mergeCells count="11">
    <mergeCell ref="A1:I1"/>
    <mergeCell ref="B43:C43"/>
    <mergeCell ref="B42:C42"/>
    <mergeCell ref="B39:C39"/>
    <mergeCell ref="B44:C44"/>
    <mergeCell ref="B41:C41"/>
    <mergeCell ref="B38:C38"/>
    <mergeCell ref="B40:C40"/>
    <mergeCell ref="A2:I2"/>
    <mergeCell ref="A37:I37"/>
    <mergeCell ref="B5:C5"/>
  </mergeCells>
  <conditionalFormatting sqref="H9:H34">
    <cfRule type="cellIs" dxfId="3" priority="1" operator="equal">
      <formula>"Tuntas"</formula>
    </cfRule>
    <cfRule type="cellIs" dxfId="2" priority="2" operator="equal">
      <formula>"Belum Tuntas"</formula>
    </cfRule>
  </conditionalFormatting>
  <dataValidations count="1">
    <dataValidation type="list" allowBlank="1" sqref="C9:C34" xr:uid="{00000000-0002-0000-0600-000000000000}">
      <formula1>"L,P"</formula1>
    </dataValidation>
  </dataValidation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xr:uid="{00000000-0002-0000-0600-000001000000}">
          <x14:formula1>
            <xm:f>0</xm:f>
          </x14:formula1>
          <x14:formula2>
            <xm:f>'FORMAT PENILAIAN'!$B$6</xm:f>
          </x14:formula2>
          <xm:sqref>D9:K48 M9:M48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60"/>
  <sheetViews>
    <sheetView showGridLines="0" zoomScale="90" workbookViewId="0">
      <pane xSplit="3" ySplit="8" topLeftCell="D9" activePane="bottomRight" state="frozen"/>
      <selection pane="topRight"/>
      <selection pane="bottomLeft"/>
      <selection pane="bottomRight" activeCell="I14" sqref="I14"/>
    </sheetView>
  </sheetViews>
  <sheetFormatPr defaultRowHeight="14.4" x14ac:dyDescent="0.3"/>
  <cols>
    <col min="1" max="1" width="21.88671875" bestFit="1" customWidth="1"/>
    <col min="2" max="2" width="34" customWidth="1"/>
    <col min="3" max="3" width="8" customWidth="1"/>
    <col min="4" max="4" width="16" bestFit="1" customWidth="1"/>
    <col min="5" max="6" width="14" customWidth="1"/>
    <col min="7" max="7" width="14.109375" bestFit="1" customWidth="1"/>
    <col min="8" max="8" width="16" customWidth="1"/>
    <col min="9" max="9" width="48" customWidth="1"/>
    <col min="10" max="11" width="15" customWidth="1"/>
    <col min="12" max="14" width="14" customWidth="1"/>
    <col min="15" max="15" width="10" customWidth="1"/>
    <col min="16" max="16" width="16" customWidth="1"/>
    <col min="17" max="17" width="48" customWidth="1"/>
  </cols>
  <sheetData>
    <row r="1" spans="1:17" ht="18.600000000000001" x14ac:dyDescent="0.3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10"/>
      <c r="K1" s="10"/>
      <c r="L1" s="10"/>
      <c r="M1" s="10"/>
      <c r="N1" s="10"/>
      <c r="O1" s="10"/>
      <c r="P1" s="10"/>
      <c r="Q1" s="10"/>
    </row>
    <row r="2" spans="1:17" ht="16.8" x14ac:dyDescent="0.3">
      <c r="A2" s="34" t="s">
        <v>202</v>
      </c>
      <c r="B2" s="31"/>
      <c r="C2" s="31"/>
      <c r="D2" s="31"/>
      <c r="E2" s="31"/>
      <c r="F2" s="31"/>
      <c r="G2" s="31"/>
      <c r="H2" s="31"/>
      <c r="I2" s="31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1" t="s">
        <v>53</v>
      </c>
      <c r="B4" s="12" t="s">
        <v>203</v>
      </c>
      <c r="C4" s="10"/>
      <c r="D4" s="11" t="s">
        <v>17</v>
      </c>
      <c r="E4" s="23" t="str">
        <f>'IDENTITAS SEKOLAH'!B8</f>
        <v>2026/2027</v>
      </c>
      <c r="F4" s="10"/>
      <c r="G4" s="11" t="s">
        <v>19</v>
      </c>
      <c r="H4" s="23" t="str">
        <f>'IDENTITAS SEKOLAH'!B9</f>
        <v>Ganjil</v>
      </c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1" t="s">
        <v>23</v>
      </c>
      <c r="B5" s="37">
        <f>'IDENTITAS SEKOLAH'!B11</f>
        <v>0</v>
      </c>
      <c r="C5" s="31"/>
      <c r="D5" s="11" t="s">
        <v>31</v>
      </c>
      <c r="E5" s="25">
        <f>'FORMAT PENILAIAN'!B5</f>
        <v>75</v>
      </c>
      <c r="F5" s="10"/>
      <c r="G5" s="11" t="s">
        <v>55</v>
      </c>
      <c r="H5" s="24">
        <f>'FORMAT PENILAIAN'!H14</f>
        <v>100</v>
      </c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4" t="s">
        <v>39</v>
      </c>
      <c r="B8" s="4" t="s">
        <v>56</v>
      </c>
      <c r="C8" s="4" t="s">
        <v>57</v>
      </c>
      <c r="D8" s="4" t="s">
        <v>49</v>
      </c>
      <c r="E8" s="4" t="s">
        <v>45</v>
      </c>
      <c r="F8" s="4" t="s">
        <v>58</v>
      </c>
      <c r="G8" s="4" t="s">
        <v>59</v>
      </c>
      <c r="H8" s="4" t="s">
        <v>60</v>
      </c>
      <c r="I8" s="4" t="s">
        <v>61</v>
      </c>
      <c r="J8" s="10"/>
      <c r="K8" s="10"/>
      <c r="L8" s="10"/>
      <c r="M8" s="10"/>
      <c r="N8" s="10"/>
      <c r="O8" s="10"/>
      <c r="P8" s="10"/>
      <c r="Q8" s="10"/>
    </row>
    <row r="9" spans="1:17" ht="19.95" customHeight="1" x14ac:dyDescent="0.3">
      <c r="A9" s="18">
        <v>1</v>
      </c>
      <c r="B9" s="28" t="s">
        <v>204</v>
      </c>
      <c r="C9" s="21" t="s">
        <v>63</v>
      </c>
      <c r="D9" s="27"/>
      <c r="E9" s="27"/>
      <c r="F9" s="19">
        <f>IF(B9="","",IF('FORMAT PENILAIAN'!$H$14&lt;&gt;100,"",ROUND(D9*'FORMAT PENILAIAN'!$C$15/100+E9*'FORMAT PENILAIAN'!$C$16/100,2)))</f>
        <v>0</v>
      </c>
      <c r="G9" s="20" t="str">
        <f>IF(F9="","",IF(F9&gt;='FORMAT PENILAIAN'!$B$8,"A",IF(F9&gt;='FORMAT PENILAIAN'!$B$9,"B",IF(F9&gt;='FORMAT PENILAIAN'!$B$10,"C","D"))))</f>
        <v>D</v>
      </c>
      <c r="H9" s="20" t="str">
        <f>IF(F9="","",IF(F9&gt;='FORMAT PENILAIAN'!$B$5,"Tuntas","Belum Tuntas"))</f>
        <v>Belum Tuntas</v>
      </c>
      <c r="I9" s="20" t="str">
        <f t="shared" ref="I9:I31" si="0">IF(F9="","",IF(G9="A","Penguasaan kompetensi sangat baik.",IF(G9="B","Penguasaan kompetensi baik.",IF(G9="C","Penguasaan kompetensi cukup dan masih perlu penguatan.","Belum mencapai KKM."))))</f>
        <v>Belum mencapai KKM.</v>
      </c>
      <c r="J9" s="10"/>
      <c r="K9" s="10"/>
      <c r="L9" s="10"/>
      <c r="M9" s="10"/>
      <c r="N9" s="10"/>
      <c r="O9" s="10"/>
      <c r="P9" s="10"/>
      <c r="Q9" s="10"/>
    </row>
    <row r="10" spans="1:17" ht="19.95" customHeight="1" x14ac:dyDescent="0.3">
      <c r="A10" s="18">
        <v>2</v>
      </c>
      <c r="B10" s="28" t="s">
        <v>205</v>
      </c>
      <c r="C10" s="21" t="s">
        <v>63</v>
      </c>
      <c r="D10" s="27"/>
      <c r="E10" s="27"/>
      <c r="F10" s="19">
        <f>IF(B10="","",IF('FORMAT PENILAIAN'!$H$14&lt;&gt;100,"",ROUND(D10*'FORMAT PENILAIAN'!$C$15/100+E10*'FORMAT PENILAIAN'!$C$16/100,2)))</f>
        <v>0</v>
      </c>
      <c r="G10" s="20" t="str">
        <f>IF(F10="","",IF(F10&gt;='FORMAT PENILAIAN'!$B$8,"A",IF(F10&gt;='FORMAT PENILAIAN'!$B$9,"B",IF(F10&gt;='FORMAT PENILAIAN'!$B$10,"C","D"))))</f>
        <v>D</v>
      </c>
      <c r="H10" s="20" t="str">
        <f>IF(F10="","",IF(F10&gt;='FORMAT PENILAIAN'!$B$5,"Tuntas","Belum Tuntas"))</f>
        <v>Belum Tuntas</v>
      </c>
      <c r="I10" s="20" t="str">
        <f t="shared" si="0"/>
        <v>Belum mencapai KKM.</v>
      </c>
      <c r="J10" s="10"/>
      <c r="K10" s="10"/>
      <c r="L10" s="10"/>
      <c r="M10" s="10"/>
      <c r="N10" s="10"/>
      <c r="O10" s="10"/>
      <c r="P10" s="10"/>
      <c r="Q10" s="10"/>
    </row>
    <row r="11" spans="1:17" ht="19.95" customHeight="1" x14ac:dyDescent="0.3">
      <c r="A11" s="18">
        <v>3</v>
      </c>
      <c r="B11" s="28" t="s">
        <v>206</v>
      </c>
      <c r="C11" s="21" t="s">
        <v>63</v>
      </c>
      <c r="D11" s="27"/>
      <c r="E11" s="27"/>
      <c r="F11" s="19">
        <f>IF(B11="","",IF('FORMAT PENILAIAN'!$H$14&lt;&gt;100,"",ROUND(D11*'FORMAT PENILAIAN'!$C$15/100+E11*'FORMAT PENILAIAN'!$C$16/100,2)))</f>
        <v>0</v>
      </c>
      <c r="G11" s="20" t="str">
        <f>IF(F11="","",IF(F11&gt;='FORMAT PENILAIAN'!$B$8,"A",IF(F11&gt;='FORMAT PENILAIAN'!$B$9,"B",IF(F11&gt;='FORMAT PENILAIAN'!$B$10,"C","D"))))</f>
        <v>D</v>
      </c>
      <c r="H11" s="20" t="str">
        <f>IF(F11="","",IF(F11&gt;='FORMAT PENILAIAN'!$B$5,"Tuntas","Belum Tuntas"))</f>
        <v>Belum Tuntas</v>
      </c>
      <c r="I11" s="20" t="str">
        <f t="shared" si="0"/>
        <v>Belum mencapai KKM.</v>
      </c>
      <c r="J11" s="10"/>
      <c r="K11" s="10"/>
      <c r="L11" s="10"/>
      <c r="M11" s="10"/>
      <c r="N11" s="10"/>
      <c r="O11" s="10"/>
      <c r="P11" s="10"/>
      <c r="Q11" s="10"/>
    </row>
    <row r="12" spans="1:17" ht="19.95" customHeight="1" x14ac:dyDescent="0.3">
      <c r="A12" s="18">
        <v>4</v>
      </c>
      <c r="B12" s="28" t="s">
        <v>207</v>
      </c>
      <c r="C12" s="21" t="s">
        <v>63</v>
      </c>
      <c r="D12" s="27"/>
      <c r="E12" s="27"/>
      <c r="F12" s="19">
        <f>IF(B12="","",IF('FORMAT PENILAIAN'!$H$14&lt;&gt;100,"",ROUND(D12*'FORMAT PENILAIAN'!$C$15/100+E12*'FORMAT PENILAIAN'!$C$16/100,2)))</f>
        <v>0</v>
      </c>
      <c r="G12" s="20" t="str">
        <f>IF(F12="","",IF(F12&gt;='FORMAT PENILAIAN'!$B$8,"A",IF(F12&gt;='FORMAT PENILAIAN'!$B$9,"B",IF(F12&gt;='FORMAT PENILAIAN'!$B$10,"C","D"))))</f>
        <v>D</v>
      </c>
      <c r="H12" s="20" t="str">
        <f>IF(F12="","",IF(F12&gt;='FORMAT PENILAIAN'!$B$5,"Tuntas","Belum Tuntas"))</f>
        <v>Belum Tuntas</v>
      </c>
      <c r="I12" s="20" t="str">
        <f t="shared" si="0"/>
        <v>Belum mencapai KKM.</v>
      </c>
      <c r="J12" s="10"/>
      <c r="K12" s="10"/>
      <c r="L12" s="10"/>
      <c r="M12" s="10"/>
      <c r="N12" s="10"/>
      <c r="O12" s="10"/>
      <c r="P12" s="10"/>
      <c r="Q12" s="10"/>
    </row>
    <row r="13" spans="1:17" ht="19.95" customHeight="1" x14ac:dyDescent="0.3">
      <c r="A13" s="18">
        <v>5</v>
      </c>
      <c r="B13" s="28" t="s">
        <v>208</v>
      </c>
      <c r="C13" s="21" t="s">
        <v>77</v>
      </c>
      <c r="D13" s="27"/>
      <c r="E13" s="27"/>
      <c r="F13" s="19">
        <f>IF(B13="","",IF('FORMAT PENILAIAN'!$H$14&lt;&gt;100,"",ROUND(D13*'FORMAT PENILAIAN'!$C$15/100+E13*'FORMAT PENILAIAN'!$C$16/100,2)))</f>
        <v>0</v>
      </c>
      <c r="G13" s="20" t="str">
        <f>IF(F13="","",IF(F13&gt;='FORMAT PENILAIAN'!$B$8,"A",IF(F13&gt;='FORMAT PENILAIAN'!$B$9,"B",IF(F13&gt;='FORMAT PENILAIAN'!$B$10,"C","D"))))</f>
        <v>D</v>
      </c>
      <c r="H13" s="20" t="str">
        <f>IF(F13="","",IF(F13&gt;='FORMAT PENILAIAN'!$B$5,"Tuntas","Belum Tuntas"))</f>
        <v>Belum Tuntas</v>
      </c>
      <c r="I13" s="20" t="str">
        <f t="shared" si="0"/>
        <v>Belum mencapai KKM.</v>
      </c>
      <c r="J13" s="10"/>
      <c r="K13" s="10"/>
      <c r="L13" s="10"/>
      <c r="M13" s="10"/>
      <c r="N13" s="10"/>
      <c r="O13" s="10"/>
      <c r="P13" s="10"/>
      <c r="Q13" s="10"/>
    </row>
    <row r="14" spans="1:17" ht="19.95" customHeight="1" x14ac:dyDescent="0.3">
      <c r="A14" s="18">
        <v>6</v>
      </c>
      <c r="B14" s="28" t="s">
        <v>209</v>
      </c>
      <c r="C14" s="21" t="s">
        <v>77</v>
      </c>
      <c r="D14" s="27"/>
      <c r="E14" s="27"/>
      <c r="F14" s="19">
        <f>IF(B14="","",IF('FORMAT PENILAIAN'!$H$14&lt;&gt;100,"",ROUND(D14*'FORMAT PENILAIAN'!$C$15/100+E14*'FORMAT PENILAIAN'!$C$16/100,2)))</f>
        <v>0</v>
      </c>
      <c r="G14" s="20" t="str">
        <f>IF(F14="","",IF(F14&gt;='FORMAT PENILAIAN'!$B$8,"A",IF(F14&gt;='FORMAT PENILAIAN'!$B$9,"B",IF(F14&gt;='FORMAT PENILAIAN'!$B$10,"C","D"))))</f>
        <v>D</v>
      </c>
      <c r="H14" s="20" t="str">
        <f>IF(F14="","",IF(F14&gt;='FORMAT PENILAIAN'!$B$5,"Tuntas","Belum Tuntas"))</f>
        <v>Belum Tuntas</v>
      </c>
      <c r="I14" s="20" t="str">
        <f t="shared" si="0"/>
        <v>Belum mencapai KKM.</v>
      </c>
      <c r="J14" s="10"/>
      <c r="K14" s="10"/>
      <c r="L14" s="10"/>
      <c r="M14" s="10"/>
      <c r="N14" s="10"/>
      <c r="O14" s="10"/>
      <c r="P14" s="10"/>
      <c r="Q14" s="10"/>
    </row>
    <row r="15" spans="1:17" ht="19.95" customHeight="1" x14ac:dyDescent="0.3">
      <c r="A15" s="18">
        <v>7</v>
      </c>
      <c r="B15" s="28" t="s">
        <v>210</v>
      </c>
      <c r="C15" s="21" t="s">
        <v>77</v>
      </c>
      <c r="D15" s="27"/>
      <c r="E15" s="27"/>
      <c r="F15" s="19">
        <f>IF(B15="","",IF('FORMAT PENILAIAN'!$H$14&lt;&gt;100,"",ROUND(D15*'FORMAT PENILAIAN'!$C$15/100+E15*'FORMAT PENILAIAN'!$C$16/100,2)))</f>
        <v>0</v>
      </c>
      <c r="G15" s="20" t="str">
        <f>IF(F15="","",IF(F15&gt;='FORMAT PENILAIAN'!$B$8,"A",IF(F15&gt;='FORMAT PENILAIAN'!$B$9,"B",IF(F15&gt;='FORMAT PENILAIAN'!$B$10,"C","D"))))</f>
        <v>D</v>
      </c>
      <c r="H15" s="20" t="str">
        <f>IF(F15="","",IF(F15&gt;='FORMAT PENILAIAN'!$B$5,"Tuntas","Belum Tuntas"))</f>
        <v>Belum Tuntas</v>
      </c>
      <c r="I15" s="20" t="str">
        <f t="shared" si="0"/>
        <v>Belum mencapai KKM.</v>
      </c>
      <c r="J15" s="10"/>
      <c r="K15" s="10"/>
      <c r="L15" s="10"/>
      <c r="M15" s="10"/>
      <c r="N15" s="10"/>
      <c r="O15" s="10"/>
      <c r="P15" s="10"/>
      <c r="Q15" s="10"/>
    </row>
    <row r="16" spans="1:17" ht="19.95" customHeight="1" x14ac:dyDescent="0.3">
      <c r="A16" s="18">
        <v>8</v>
      </c>
      <c r="B16" s="28" t="s">
        <v>211</v>
      </c>
      <c r="C16" s="21" t="s">
        <v>77</v>
      </c>
      <c r="D16" s="27"/>
      <c r="E16" s="27"/>
      <c r="F16" s="19">
        <f>IF(B16="","",IF('FORMAT PENILAIAN'!$H$14&lt;&gt;100,"",ROUND(D16*'FORMAT PENILAIAN'!$C$15/100+E16*'FORMAT PENILAIAN'!$C$16/100,2)))</f>
        <v>0</v>
      </c>
      <c r="G16" s="20" t="str">
        <f>IF(F16="","",IF(F16&gt;='FORMAT PENILAIAN'!$B$8,"A",IF(F16&gt;='FORMAT PENILAIAN'!$B$9,"B",IF(F16&gt;='FORMAT PENILAIAN'!$B$10,"C","D"))))</f>
        <v>D</v>
      </c>
      <c r="H16" s="20" t="str">
        <f>IF(F16="","",IF(F16&gt;='FORMAT PENILAIAN'!$B$5,"Tuntas","Belum Tuntas"))</f>
        <v>Belum Tuntas</v>
      </c>
      <c r="I16" s="20" t="str">
        <f t="shared" si="0"/>
        <v>Belum mencapai KKM.</v>
      </c>
      <c r="J16" s="10"/>
      <c r="K16" s="10"/>
      <c r="L16" s="10"/>
      <c r="M16" s="10"/>
      <c r="N16" s="10"/>
      <c r="O16" s="10"/>
      <c r="P16" s="10"/>
      <c r="Q16" s="10"/>
    </row>
    <row r="17" spans="1:17" ht="19.95" customHeight="1" x14ac:dyDescent="0.3">
      <c r="A17" s="18">
        <v>9</v>
      </c>
      <c r="B17" s="28" t="s">
        <v>212</v>
      </c>
      <c r="C17" s="21" t="s">
        <v>77</v>
      </c>
      <c r="D17" s="27"/>
      <c r="E17" s="27"/>
      <c r="F17" s="19">
        <f>IF(B17="","",IF('FORMAT PENILAIAN'!$H$14&lt;&gt;100,"",ROUND(D17*'FORMAT PENILAIAN'!$C$15/100+E17*'FORMAT PENILAIAN'!$C$16/100,2)))</f>
        <v>0</v>
      </c>
      <c r="G17" s="20" t="str">
        <f>IF(F17="","",IF(F17&gt;='FORMAT PENILAIAN'!$B$8,"A",IF(F17&gt;='FORMAT PENILAIAN'!$B$9,"B",IF(F17&gt;='FORMAT PENILAIAN'!$B$10,"C","D"))))</f>
        <v>D</v>
      </c>
      <c r="H17" s="20" t="str">
        <f>IF(F17="","",IF(F17&gt;='FORMAT PENILAIAN'!$B$5,"Tuntas","Belum Tuntas"))</f>
        <v>Belum Tuntas</v>
      </c>
      <c r="I17" s="20" t="str">
        <f t="shared" si="0"/>
        <v>Belum mencapai KKM.</v>
      </c>
      <c r="J17" s="10"/>
      <c r="K17" s="10"/>
      <c r="L17" s="10"/>
      <c r="M17" s="10"/>
      <c r="N17" s="10"/>
      <c r="O17" s="10"/>
      <c r="P17" s="10"/>
      <c r="Q17" s="10"/>
    </row>
    <row r="18" spans="1:17" ht="19.95" customHeight="1" x14ac:dyDescent="0.3">
      <c r="A18" s="18">
        <v>10</v>
      </c>
      <c r="B18" s="28" t="s">
        <v>213</v>
      </c>
      <c r="C18" s="21" t="s">
        <v>77</v>
      </c>
      <c r="D18" s="27"/>
      <c r="E18" s="27"/>
      <c r="F18" s="19">
        <f>IF(B18="","",IF('FORMAT PENILAIAN'!$H$14&lt;&gt;100,"",ROUND(D18*'FORMAT PENILAIAN'!$C$15/100+E18*'FORMAT PENILAIAN'!$C$16/100,2)))</f>
        <v>0</v>
      </c>
      <c r="G18" s="20" t="str">
        <f>IF(F18="","",IF(F18&gt;='FORMAT PENILAIAN'!$B$8,"A",IF(F18&gt;='FORMAT PENILAIAN'!$B$9,"B",IF(F18&gt;='FORMAT PENILAIAN'!$B$10,"C","D"))))</f>
        <v>D</v>
      </c>
      <c r="H18" s="20" t="str">
        <f>IF(F18="","",IF(F18&gt;='FORMAT PENILAIAN'!$B$5,"Tuntas","Belum Tuntas"))</f>
        <v>Belum Tuntas</v>
      </c>
      <c r="I18" s="20" t="str">
        <f t="shared" si="0"/>
        <v>Belum mencapai KKM.</v>
      </c>
      <c r="J18" s="10"/>
      <c r="K18" s="10"/>
      <c r="L18" s="10"/>
      <c r="M18" s="10"/>
      <c r="N18" s="10"/>
      <c r="O18" s="10"/>
      <c r="P18" s="10"/>
      <c r="Q18" s="10"/>
    </row>
    <row r="19" spans="1:17" ht="19.95" customHeight="1" x14ac:dyDescent="0.3">
      <c r="A19" s="18">
        <v>11</v>
      </c>
      <c r="B19" s="28" t="s">
        <v>214</v>
      </c>
      <c r="C19" s="21" t="s">
        <v>77</v>
      </c>
      <c r="D19" s="27"/>
      <c r="E19" s="27"/>
      <c r="F19" s="19">
        <f>IF(B19="","",IF('FORMAT PENILAIAN'!$H$14&lt;&gt;100,"",ROUND(D19*'FORMAT PENILAIAN'!$C$15/100+E19*'FORMAT PENILAIAN'!$C$16/100,2)))</f>
        <v>0</v>
      </c>
      <c r="G19" s="20" t="str">
        <f>IF(F19="","",IF(F19&gt;='FORMAT PENILAIAN'!$B$8,"A",IF(F19&gt;='FORMAT PENILAIAN'!$B$9,"B",IF(F19&gt;='FORMAT PENILAIAN'!$B$10,"C","D"))))</f>
        <v>D</v>
      </c>
      <c r="H19" s="20" t="str">
        <f>IF(F19="","",IF(F19&gt;='FORMAT PENILAIAN'!$B$5,"Tuntas","Belum Tuntas"))</f>
        <v>Belum Tuntas</v>
      </c>
      <c r="I19" s="20" t="str">
        <f t="shared" si="0"/>
        <v>Belum mencapai KKM.</v>
      </c>
      <c r="J19" s="10"/>
      <c r="K19" s="10"/>
      <c r="L19" s="10"/>
      <c r="M19" s="10"/>
      <c r="N19" s="10"/>
      <c r="O19" s="10"/>
      <c r="P19" s="10"/>
      <c r="Q19" s="10"/>
    </row>
    <row r="20" spans="1:17" ht="19.95" customHeight="1" x14ac:dyDescent="0.3">
      <c r="A20" s="18">
        <v>12</v>
      </c>
      <c r="B20" s="28" t="s">
        <v>215</v>
      </c>
      <c r="C20" s="21" t="s">
        <v>77</v>
      </c>
      <c r="D20" s="27"/>
      <c r="E20" s="27"/>
      <c r="F20" s="19">
        <f>IF(B20="","",IF('FORMAT PENILAIAN'!$H$14&lt;&gt;100,"",ROUND(D20*'FORMAT PENILAIAN'!$C$15/100+E20*'FORMAT PENILAIAN'!$C$16/100,2)))</f>
        <v>0</v>
      </c>
      <c r="G20" s="20" t="str">
        <f>IF(F20="","",IF(F20&gt;='FORMAT PENILAIAN'!$B$8,"A",IF(F20&gt;='FORMAT PENILAIAN'!$B$9,"B",IF(F20&gt;='FORMAT PENILAIAN'!$B$10,"C","D"))))</f>
        <v>D</v>
      </c>
      <c r="H20" s="20" t="str">
        <f>IF(F20="","",IF(F20&gt;='FORMAT PENILAIAN'!$B$5,"Tuntas","Belum Tuntas"))</f>
        <v>Belum Tuntas</v>
      </c>
      <c r="I20" s="20" t="str">
        <f t="shared" si="0"/>
        <v>Belum mencapai KKM.</v>
      </c>
      <c r="J20" s="10"/>
      <c r="K20" s="10"/>
      <c r="L20" s="10"/>
      <c r="M20" s="10"/>
      <c r="N20" s="10"/>
      <c r="O20" s="10"/>
      <c r="P20" s="10"/>
      <c r="Q20" s="10"/>
    </row>
    <row r="21" spans="1:17" ht="19.95" customHeight="1" x14ac:dyDescent="0.3">
      <c r="A21" s="18">
        <v>13</v>
      </c>
      <c r="B21" s="28" t="s">
        <v>216</v>
      </c>
      <c r="C21" s="21" t="s">
        <v>77</v>
      </c>
      <c r="D21" s="27"/>
      <c r="E21" s="27"/>
      <c r="F21" s="19">
        <f>IF(B21="","",IF('FORMAT PENILAIAN'!$H$14&lt;&gt;100,"",ROUND(D21*'FORMAT PENILAIAN'!$C$15/100+E21*'FORMAT PENILAIAN'!$C$16/100,2)))</f>
        <v>0</v>
      </c>
      <c r="G21" s="20" t="str">
        <f>IF(F21="","",IF(F21&gt;='FORMAT PENILAIAN'!$B$8,"A",IF(F21&gt;='FORMAT PENILAIAN'!$B$9,"B",IF(F21&gt;='FORMAT PENILAIAN'!$B$10,"C","D"))))</f>
        <v>D</v>
      </c>
      <c r="H21" s="20" t="str">
        <f>IF(F21="","",IF(F21&gt;='FORMAT PENILAIAN'!$B$5,"Tuntas","Belum Tuntas"))</f>
        <v>Belum Tuntas</v>
      </c>
      <c r="I21" s="20" t="str">
        <f t="shared" si="0"/>
        <v>Belum mencapai KKM.</v>
      </c>
      <c r="J21" s="10"/>
      <c r="K21" s="10"/>
      <c r="L21" s="10"/>
      <c r="M21" s="10"/>
      <c r="N21" s="10"/>
      <c r="O21" s="10"/>
      <c r="P21" s="10"/>
      <c r="Q21" s="10"/>
    </row>
    <row r="22" spans="1:17" ht="19.95" customHeight="1" x14ac:dyDescent="0.3">
      <c r="A22" s="18">
        <v>14</v>
      </c>
      <c r="B22" s="28" t="s">
        <v>217</v>
      </c>
      <c r="C22" s="21" t="s">
        <v>77</v>
      </c>
      <c r="D22" s="27"/>
      <c r="E22" s="27"/>
      <c r="F22" s="19">
        <f>IF(B22="","",IF('FORMAT PENILAIAN'!$H$14&lt;&gt;100,"",ROUND(D22*'FORMAT PENILAIAN'!$C$15/100+E22*'FORMAT PENILAIAN'!$C$16/100,2)))</f>
        <v>0</v>
      </c>
      <c r="G22" s="20" t="str">
        <f>IF(F22="","",IF(F22&gt;='FORMAT PENILAIAN'!$B$8,"A",IF(F22&gt;='FORMAT PENILAIAN'!$B$9,"B",IF(F22&gt;='FORMAT PENILAIAN'!$B$10,"C","D"))))</f>
        <v>D</v>
      </c>
      <c r="H22" s="20" t="str">
        <f>IF(F22="","",IF(F22&gt;='FORMAT PENILAIAN'!$B$5,"Tuntas","Belum Tuntas"))</f>
        <v>Belum Tuntas</v>
      </c>
      <c r="I22" s="20" t="str">
        <f t="shared" si="0"/>
        <v>Belum mencapai KKM.</v>
      </c>
      <c r="J22" s="10"/>
      <c r="K22" s="10"/>
      <c r="L22" s="10"/>
      <c r="M22" s="10"/>
      <c r="N22" s="10"/>
      <c r="O22" s="10"/>
      <c r="P22" s="10"/>
      <c r="Q22" s="10"/>
    </row>
    <row r="23" spans="1:17" ht="19.95" customHeight="1" x14ac:dyDescent="0.3">
      <c r="A23" s="18">
        <v>15</v>
      </c>
      <c r="B23" s="28" t="s">
        <v>218</v>
      </c>
      <c r="C23" s="21" t="s">
        <v>77</v>
      </c>
      <c r="D23" s="27"/>
      <c r="E23" s="27"/>
      <c r="F23" s="19">
        <f>IF(B23="","",IF('FORMAT PENILAIAN'!$H$14&lt;&gt;100,"",ROUND(D23*'FORMAT PENILAIAN'!$C$15/100+E23*'FORMAT PENILAIAN'!$C$16/100,2)))</f>
        <v>0</v>
      </c>
      <c r="G23" s="20" t="str">
        <f>IF(F23="","",IF(F23&gt;='FORMAT PENILAIAN'!$B$8,"A",IF(F23&gt;='FORMAT PENILAIAN'!$B$9,"B",IF(F23&gt;='FORMAT PENILAIAN'!$B$10,"C","D"))))</f>
        <v>D</v>
      </c>
      <c r="H23" s="20" t="str">
        <f>IF(F23="","",IF(F23&gt;='FORMAT PENILAIAN'!$B$5,"Tuntas","Belum Tuntas"))</f>
        <v>Belum Tuntas</v>
      </c>
      <c r="I23" s="20" t="str">
        <f t="shared" si="0"/>
        <v>Belum mencapai KKM.</v>
      </c>
      <c r="J23" s="10"/>
      <c r="K23" s="10"/>
      <c r="L23" s="10"/>
      <c r="M23" s="10"/>
      <c r="N23" s="10"/>
      <c r="O23" s="10"/>
      <c r="P23" s="10"/>
      <c r="Q23" s="10"/>
    </row>
    <row r="24" spans="1:17" ht="19.95" customHeight="1" x14ac:dyDescent="0.3">
      <c r="A24" s="18">
        <v>16</v>
      </c>
      <c r="B24" s="28" t="s">
        <v>219</v>
      </c>
      <c r="C24" s="21" t="s">
        <v>77</v>
      </c>
      <c r="D24" s="27"/>
      <c r="E24" s="27"/>
      <c r="F24" s="19">
        <f>IF(B24="","",IF('FORMAT PENILAIAN'!$H$14&lt;&gt;100,"",ROUND(D24*'FORMAT PENILAIAN'!$C$15/100+E24*'FORMAT PENILAIAN'!$C$16/100,2)))</f>
        <v>0</v>
      </c>
      <c r="G24" s="20" t="str">
        <f>IF(F24="","",IF(F24&gt;='FORMAT PENILAIAN'!$B$8,"A",IF(F24&gt;='FORMAT PENILAIAN'!$B$9,"B",IF(F24&gt;='FORMAT PENILAIAN'!$B$10,"C","D"))))</f>
        <v>D</v>
      </c>
      <c r="H24" s="20" t="str">
        <f>IF(F24="","",IF(F24&gt;='FORMAT PENILAIAN'!$B$5,"Tuntas","Belum Tuntas"))</f>
        <v>Belum Tuntas</v>
      </c>
      <c r="I24" s="20" t="str">
        <f t="shared" si="0"/>
        <v>Belum mencapai KKM.</v>
      </c>
      <c r="J24" s="10"/>
      <c r="K24" s="10"/>
      <c r="L24" s="10"/>
      <c r="M24" s="10"/>
      <c r="N24" s="10"/>
      <c r="O24" s="10"/>
      <c r="P24" s="10"/>
      <c r="Q24" s="10"/>
    </row>
    <row r="25" spans="1:17" ht="19.95" customHeight="1" x14ac:dyDescent="0.3">
      <c r="A25" s="18">
        <v>17</v>
      </c>
      <c r="B25" s="28" t="s">
        <v>220</v>
      </c>
      <c r="C25" s="21" t="s">
        <v>77</v>
      </c>
      <c r="D25" s="27"/>
      <c r="E25" s="27"/>
      <c r="F25" s="19">
        <f>IF(B25="","",IF('FORMAT PENILAIAN'!$H$14&lt;&gt;100,"",ROUND(D25*'FORMAT PENILAIAN'!$C$15/100+E25*'FORMAT PENILAIAN'!$C$16/100,2)))</f>
        <v>0</v>
      </c>
      <c r="G25" s="20" t="str">
        <f>IF(F25="","",IF(F25&gt;='FORMAT PENILAIAN'!$B$8,"A",IF(F25&gt;='FORMAT PENILAIAN'!$B$9,"B",IF(F25&gt;='FORMAT PENILAIAN'!$B$10,"C","D"))))</f>
        <v>D</v>
      </c>
      <c r="H25" s="20" t="str">
        <f>IF(F25="","",IF(F25&gt;='FORMAT PENILAIAN'!$B$5,"Tuntas","Belum Tuntas"))</f>
        <v>Belum Tuntas</v>
      </c>
      <c r="I25" s="20" t="str">
        <f t="shared" si="0"/>
        <v>Belum mencapai KKM.</v>
      </c>
      <c r="J25" s="10"/>
      <c r="K25" s="10"/>
      <c r="L25" s="10"/>
      <c r="M25" s="10"/>
      <c r="N25" s="10"/>
      <c r="O25" s="10"/>
      <c r="P25" s="10"/>
      <c r="Q25" s="10"/>
    </row>
    <row r="26" spans="1:17" ht="19.95" customHeight="1" x14ac:dyDescent="0.3">
      <c r="A26" s="18">
        <v>18</v>
      </c>
      <c r="B26" s="28" t="s">
        <v>221</v>
      </c>
      <c r="C26" s="21" t="s">
        <v>77</v>
      </c>
      <c r="D26" s="27"/>
      <c r="E26" s="27"/>
      <c r="F26" s="19">
        <f>IF(B26="","",IF('FORMAT PENILAIAN'!$H$14&lt;&gt;100,"",ROUND(D26*'FORMAT PENILAIAN'!$C$15/100+E26*'FORMAT PENILAIAN'!$C$16/100,2)))</f>
        <v>0</v>
      </c>
      <c r="G26" s="20" t="str">
        <f>IF(F26="","",IF(F26&gt;='FORMAT PENILAIAN'!$B$8,"A",IF(F26&gt;='FORMAT PENILAIAN'!$B$9,"B",IF(F26&gt;='FORMAT PENILAIAN'!$B$10,"C","D"))))</f>
        <v>D</v>
      </c>
      <c r="H26" s="20" t="str">
        <f>IF(F26="","",IF(F26&gt;='FORMAT PENILAIAN'!$B$5,"Tuntas","Belum Tuntas"))</f>
        <v>Belum Tuntas</v>
      </c>
      <c r="I26" s="20" t="str">
        <f t="shared" si="0"/>
        <v>Belum mencapai KKM.</v>
      </c>
      <c r="J26" s="10"/>
      <c r="K26" s="10"/>
      <c r="L26" s="10"/>
      <c r="M26" s="10"/>
      <c r="N26" s="10"/>
      <c r="O26" s="10"/>
      <c r="P26" s="10"/>
      <c r="Q26" s="10"/>
    </row>
    <row r="27" spans="1:17" ht="19.95" customHeight="1" x14ac:dyDescent="0.3">
      <c r="A27" s="18">
        <v>19</v>
      </c>
      <c r="B27" s="28" t="s">
        <v>222</v>
      </c>
      <c r="C27" s="21" t="s">
        <v>77</v>
      </c>
      <c r="D27" s="27"/>
      <c r="E27" s="27"/>
      <c r="F27" s="19">
        <f>IF(B27="","",IF('FORMAT PENILAIAN'!$H$14&lt;&gt;100,"",ROUND(D27*'FORMAT PENILAIAN'!$C$15/100+E27*'FORMAT PENILAIAN'!$C$16/100,2)))</f>
        <v>0</v>
      </c>
      <c r="G27" s="20" t="str">
        <f>IF(F27="","",IF(F27&gt;='FORMAT PENILAIAN'!$B$8,"A",IF(F27&gt;='FORMAT PENILAIAN'!$B$9,"B",IF(F27&gt;='FORMAT PENILAIAN'!$B$10,"C","D"))))</f>
        <v>D</v>
      </c>
      <c r="H27" s="20" t="str">
        <f>IF(F27="","",IF(F27&gt;='FORMAT PENILAIAN'!$B$5,"Tuntas","Belum Tuntas"))</f>
        <v>Belum Tuntas</v>
      </c>
      <c r="I27" s="20" t="str">
        <f t="shared" si="0"/>
        <v>Belum mencapai KKM.</v>
      </c>
      <c r="J27" s="10"/>
      <c r="K27" s="10"/>
      <c r="L27" s="10"/>
      <c r="M27" s="10"/>
      <c r="N27" s="10"/>
      <c r="O27" s="10"/>
      <c r="P27" s="10"/>
      <c r="Q27" s="10"/>
    </row>
    <row r="28" spans="1:17" ht="19.95" customHeight="1" x14ac:dyDescent="0.3">
      <c r="A28" s="18">
        <v>20</v>
      </c>
      <c r="B28" s="28" t="s">
        <v>223</v>
      </c>
      <c r="C28" s="21" t="s">
        <v>77</v>
      </c>
      <c r="D28" s="27"/>
      <c r="E28" s="27"/>
      <c r="F28" s="19">
        <f>IF(B28="","",IF('FORMAT PENILAIAN'!$H$14&lt;&gt;100,"",ROUND(D28*'FORMAT PENILAIAN'!$C$15/100+E28*'FORMAT PENILAIAN'!$C$16/100,2)))</f>
        <v>0</v>
      </c>
      <c r="G28" s="20" t="str">
        <f>IF(F28="","",IF(F28&gt;='FORMAT PENILAIAN'!$B$8,"A",IF(F28&gt;='FORMAT PENILAIAN'!$B$9,"B",IF(F28&gt;='FORMAT PENILAIAN'!$B$10,"C","D"))))</f>
        <v>D</v>
      </c>
      <c r="H28" s="20" t="str">
        <f>IF(F28="","",IF(F28&gt;='FORMAT PENILAIAN'!$B$5,"Tuntas","Belum Tuntas"))</f>
        <v>Belum Tuntas</v>
      </c>
      <c r="I28" s="20" t="str">
        <f t="shared" si="0"/>
        <v>Belum mencapai KKM.</v>
      </c>
      <c r="J28" s="10"/>
      <c r="K28" s="10"/>
      <c r="L28" s="10"/>
      <c r="M28" s="10"/>
      <c r="N28" s="10"/>
      <c r="O28" s="10"/>
      <c r="P28" s="10"/>
      <c r="Q28" s="10"/>
    </row>
    <row r="29" spans="1:17" ht="19.95" customHeight="1" x14ac:dyDescent="0.3">
      <c r="A29" s="18">
        <v>21</v>
      </c>
      <c r="B29" s="28" t="s">
        <v>224</v>
      </c>
      <c r="C29" s="21" t="s">
        <v>77</v>
      </c>
      <c r="D29" s="27"/>
      <c r="E29" s="27"/>
      <c r="F29" s="19">
        <f>IF(B29="","",IF('FORMAT PENILAIAN'!$H$14&lt;&gt;100,"",ROUND(D29*'FORMAT PENILAIAN'!$C$15/100+E29*'FORMAT PENILAIAN'!$C$16/100,2)))</f>
        <v>0</v>
      </c>
      <c r="G29" s="20" t="str">
        <f>IF(F29="","",IF(F29&gt;='FORMAT PENILAIAN'!$B$8,"A",IF(F29&gt;='FORMAT PENILAIAN'!$B$9,"B",IF(F29&gt;='FORMAT PENILAIAN'!$B$10,"C","D"))))</f>
        <v>D</v>
      </c>
      <c r="H29" s="20" t="str">
        <f>IF(F29="","",IF(F29&gt;='FORMAT PENILAIAN'!$B$5,"Tuntas","Belum Tuntas"))</f>
        <v>Belum Tuntas</v>
      </c>
      <c r="I29" s="20" t="str">
        <f t="shared" si="0"/>
        <v>Belum mencapai KKM.</v>
      </c>
      <c r="J29" s="10"/>
      <c r="K29" s="10"/>
      <c r="L29" s="10"/>
      <c r="M29" s="10"/>
      <c r="N29" s="10"/>
      <c r="O29" s="10"/>
      <c r="P29" s="10"/>
      <c r="Q29" s="10"/>
    </row>
    <row r="30" spans="1:17" ht="19.95" customHeight="1" x14ac:dyDescent="0.3">
      <c r="A30" s="18">
        <v>22</v>
      </c>
      <c r="B30" s="28" t="s">
        <v>225</v>
      </c>
      <c r="C30" s="21" t="s">
        <v>77</v>
      </c>
      <c r="D30" s="27"/>
      <c r="E30" s="27"/>
      <c r="F30" s="19">
        <f>IF(B30="","",IF('FORMAT PENILAIAN'!$H$14&lt;&gt;100,"",ROUND(D30*'FORMAT PENILAIAN'!$C$15/100+E30*'FORMAT PENILAIAN'!$C$16/100,2)))</f>
        <v>0</v>
      </c>
      <c r="G30" s="20" t="str">
        <f>IF(F30="","",IF(F30&gt;='FORMAT PENILAIAN'!$B$8,"A",IF(F30&gt;='FORMAT PENILAIAN'!$B$9,"B",IF(F30&gt;='FORMAT PENILAIAN'!$B$10,"C","D"))))</f>
        <v>D</v>
      </c>
      <c r="H30" s="20" t="str">
        <f>IF(F30="","",IF(F30&gt;='FORMAT PENILAIAN'!$B$5,"Tuntas","Belum Tuntas"))</f>
        <v>Belum Tuntas</v>
      </c>
      <c r="I30" s="20" t="str">
        <f t="shared" si="0"/>
        <v>Belum mencapai KKM.</v>
      </c>
      <c r="J30" s="10"/>
      <c r="K30" s="10"/>
      <c r="L30" s="10"/>
      <c r="M30" s="10"/>
      <c r="N30" s="10"/>
      <c r="O30" s="10"/>
      <c r="P30" s="10"/>
      <c r="Q30" s="10"/>
    </row>
    <row r="31" spans="1:17" ht="19.95" customHeight="1" x14ac:dyDescent="0.3">
      <c r="A31" s="18">
        <v>23</v>
      </c>
      <c r="B31" s="28" t="s">
        <v>226</v>
      </c>
      <c r="C31" s="21" t="s">
        <v>77</v>
      </c>
      <c r="D31" s="27"/>
      <c r="E31" s="27"/>
      <c r="F31" s="19">
        <f>IF(B31="","",IF('FORMAT PENILAIAN'!$H$14&lt;&gt;100,"",ROUND(D31*'FORMAT PENILAIAN'!$C$15/100+E31*'FORMAT PENILAIAN'!$C$16/100,2)))</f>
        <v>0</v>
      </c>
      <c r="G31" s="20" t="str">
        <f>IF(F31="","",IF(F31&gt;='FORMAT PENILAIAN'!$B$8,"A",IF(F31&gt;='FORMAT PENILAIAN'!$B$9,"B",IF(F31&gt;='FORMAT PENILAIAN'!$B$10,"C","D"))))</f>
        <v>D</v>
      </c>
      <c r="H31" s="20" t="str">
        <f>IF(F31="","",IF(F31&gt;='FORMAT PENILAIAN'!$B$5,"Tuntas","Belum Tuntas"))</f>
        <v>Belum Tuntas</v>
      </c>
      <c r="I31" s="20" t="str">
        <f t="shared" si="0"/>
        <v>Belum mencapai KKM.</v>
      </c>
      <c r="J31" s="10"/>
      <c r="K31" s="10"/>
      <c r="L31" s="10"/>
      <c r="M31" s="10"/>
      <c r="N31" s="10"/>
      <c r="O31" s="10"/>
      <c r="P31" s="10"/>
      <c r="Q31" s="10"/>
    </row>
    <row r="32" spans="1:17" ht="19.9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ht="19.9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19.95" customHeight="1" x14ac:dyDescent="0.3">
      <c r="A34" s="35" t="s">
        <v>95</v>
      </c>
      <c r="B34" s="36"/>
      <c r="C34" s="36"/>
      <c r="D34" s="36"/>
      <c r="E34" s="36"/>
      <c r="F34" s="36"/>
      <c r="G34" s="36"/>
      <c r="H34" s="36"/>
      <c r="I34" s="36"/>
      <c r="J34" s="10"/>
      <c r="K34" s="10"/>
      <c r="L34" s="10"/>
      <c r="M34" s="10"/>
      <c r="N34" s="10"/>
      <c r="O34" s="10"/>
      <c r="P34" s="10"/>
      <c r="Q34" s="10"/>
    </row>
    <row r="35" spans="1:17" ht="19.95" customHeight="1" x14ac:dyDescent="0.3">
      <c r="A35" s="11" t="s">
        <v>96</v>
      </c>
      <c r="B35" s="32">
        <f>COUNTIF(B9:B31,"&lt;&gt;")</f>
        <v>23</v>
      </c>
      <c r="C35" s="31"/>
      <c r="D35" s="10"/>
      <c r="E35" s="29" t="s">
        <v>59</v>
      </c>
      <c r="F35" s="29" t="s">
        <v>97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19.95" customHeight="1" x14ac:dyDescent="0.3">
      <c r="A36" s="11" t="s">
        <v>98</v>
      </c>
      <c r="B36" s="32">
        <f>COUNTIF(H9:H31,"Tuntas")</f>
        <v>0</v>
      </c>
      <c r="C36" s="31"/>
      <c r="D36" s="10"/>
      <c r="E36" s="22" t="s">
        <v>99</v>
      </c>
      <c r="F36" s="22">
        <f>COUNTIF(G9:G31,E36)</f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ht="19.95" customHeight="1" x14ac:dyDescent="0.3">
      <c r="A37" s="11" t="s">
        <v>100</v>
      </c>
      <c r="B37" s="32">
        <f>COUNTIF(H9:H31,"Belum Tuntas")</f>
        <v>23</v>
      </c>
      <c r="C37" s="31"/>
      <c r="D37" s="10"/>
      <c r="E37" s="22" t="s">
        <v>101</v>
      </c>
      <c r="F37" s="22">
        <f>COUNTIF(G9:G31,E37)</f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ht="19.95" customHeight="1" x14ac:dyDescent="0.3">
      <c r="A38" s="11" t="s">
        <v>102</v>
      </c>
      <c r="B38" s="33">
        <f>IF(B35=0,0,B36/B35)</f>
        <v>0</v>
      </c>
      <c r="C38" s="31"/>
      <c r="D38" s="10"/>
      <c r="E38" s="22" t="s">
        <v>103</v>
      </c>
      <c r="F38" s="22">
        <f>COUNTIF(G9:G31,E38)</f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ht="19.95" customHeight="1" x14ac:dyDescent="0.3">
      <c r="A39" s="11" t="s">
        <v>104</v>
      </c>
      <c r="B39" s="32">
        <f>IFERROR(AVERAGE(F9:F31),0)</f>
        <v>0</v>
      </c>
      <c r="C39" s="31"/>
      <c r="D39" s="10"/>
      <c r="E39" s="22" t="s">
        <v>105</v>
      </c>
      <c r="F39" s="22">
        <f>COUNTIF(G9:G31,E39)</f>
        <v>23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9.95" customHeight="1" x14ac:dyDescent="0.3">
      <c r="A40" s="11" t="s">
        <v>106</v>
      </c>
      <c r="B40" s="32">
        <f>IFERROR(MAX(F9:F31),0)</f>
        <v>0</v>
      </c>
      <c r="C40" s="3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9.95" customHeight="1" x14ac:dyDescent="0.3">
      <c r="A41" s="11" t="s">
        <v>107</v>
      </c>
      <c r="B41" s="32">
        <f ca="1">IFERROR(_xludf.MINIFS(F9:F31,F9:F31,"&gt;0"),0)</f>
        <v>0</v>
      </c>
      <c r="C41" s="3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19.9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19.9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9.95" customHeight="1" x14ac:dyDescent="0.3">
      <c r="J44" s="10"/>
      <c r="K44" s="10"/>
      <c r="L44" s="10"/>
      <c r="M44" s="10"/>
      <c r="N44" s="10"/>
      <c r="O44" s="10"/>
      <c r="P44" s="10"/>
      <c r="Q44" s="10"/>
    </row>
    <row r="45" spans="1:17" ht="19.95" customHeight="1" x14ac:dyDescent="0.3">
      <c r="J45" s="10"/>
      <c r="K45" s="10"/>
      <c r="L45" s="10"/>
      <c r="M45" s="10"/>
      <c r="N45" s="10"/>
      <c r="O45" s="10"/>
      <c r="P45" s="10"/>
      <c r="Q45" s="10"/>
    </row>
    <row r="46" spans="1:17" ht="19.95" customHeight="1" x14ac:dyDescent="0.3">
      <c r="J46" s="10"/>
      <c r="K46" s="10"/>
      <c r="L46" s="10"/>
      <c r="M46" s="10"/>
      <c r="N46" s="10"/>
      <c r="O46" s="10"/>
      <c r="P46" s="10"/>
      <c r="Q46" s="10"/>
    </row>
    <row r="47" spans="1:17" ht="19.95" customHeight="1" x14ac:dyDescent="0.3">
      <c r="J47" s="10"/>
      <c r="K47" s="10"/>
      <c r="L47" s="10"/>
      <c r="M47" s="10"/>
      <c r="N47" s="10"/>
      <c r="O47" s="10"/>
      <c r="P47" s="10"/>
      <c r="Q47" s="10"/>
    </row>
    <row r="48" spans="1:17" ht="19.95" customHeight="1" x14ac:dyDescent="0.3">
      <c r="J48" s="10"/>
      <c r="K48" s="10"/>
      <c r="L48" s="10"/>
      <c r="M48" s="10"/>
      <c r="N48" s="10"/>
      <c r="O48" s="10"/>
      <c r="P48" s="10"/>
      <c r="Q48" s="10"/>
    </row>
    <row r="49" spans="10:17" x14ac:dyDescent="0.3">
      <c r="J49" s="10"/>
      <c r="K49" s="10"/>
      <c r="L49" s="10"/>
      <c r="M49" s="10"/>
      <c r="N49" s="10"/>
      <c r="O49" s="10"/>
      <c r="P49" s="10"/>
      <c r="Q49" s="10"/>
    </row>
    <row r="50" spans="10:17" x14ac:dyDescent="0.3">
      <c r="J50" s="10"/>
      <c r="K50" s="10"/>
      <c r="L50" s="10"/>
      <c r="M50" s="10"/>
      <c r="N50" s="10"/>
      <c r="O50" s="10"/>
      <c r="P50" s="10"/>
      <c r="Q50" s="10"/>
    </row>
    <row r="51" spans="10:17" x14ac:dyDescent="0.3">
      <c r="J51" s="10"/>
      <c r="K51" s="10"/>
      <c r="L51" s="10"/>
      <c r="M51" s="10"/>
      <c r="N51" s="10"/>
      <c r="O51" s="10"/>
      <c r="P51" s="10"/>
      <c r="Q51" s="10"/>
    </row>
    <row r="52" spans="10:17" x14ac:dyDescent="0.3">
      <c r="J52" s="10"/>
      <c r="K52" s="10"/>
      <c r="L52" s="10"/>
      <c r="M52" s="10"/>
      <c r="N52" s="10"/>
      <c r="O52" s="10"/>
      <c r="P52" s="10"/>
      <c r="Q52" s="10"/>
    </row>
    <row r="53" spans="10:17" x14ac:dyDescent="0.3">
      <c r="J53" s="10"/>
      <c r="K53" s="10"/>
      <c r="L53" s="10"/>
      <c r="M53" s="10"/>
      <c r="N53" s="10"/>
      <c r="O53" s="10"/>
      <c r="P53" s="10"/>
      <c r="Q53" s="10"/>
    </row>
    <row r="54" spans="10:17" x14ac:dyDescent="0.3">
      <c r="J54" s="10"/>
      <c r="K54" s="10"/>
      <c r="L54" s="10"/>
      <c r="M54" s="10"/>
      <c r="N54" s="10"/>
      <c r="O54" s="10"/>
      <c r="P54" s="10"/>
      <c r="Q54" s="10"/>
    </row>
    <row r="55" spans="10:17" x14ac:dyDescent="0.3">
      <c r="J55" s="10"/>
      <c r="K55" s="10"/>
      <c r="L55" s="10"/>
      <c r="M55" s="10"/>
      <c r="N55" s="10"/>
      <c r="O55" s="10"/>
      <c r="P55" s="10"/>
      <c r="Q55" s="10"/>
    </row>
    <row r="56" spans="10:17" x14ac:dyDescent="0.3">
      <c r="J56" s="10"/>
      <c r="K56" s="10"/>
      <c r="L56" s="10"/>
      <c r="M56" s="10"/>
      <c r="N56" s="10"/>
      <c r="O56" s="10"/>
      <c r="P56" s="10"/>
      <c r="Q56" s="10"/>
    </row>
    <row r="57" spans="10:17" x14ac:dyDescent="0.3">
      <c r="J57" s="10"/>
      <c r="K57" s="10"/>
      <c r="L57" s="10"/>
      <c r="M57" s="10"/>
      <c r="N57" s="10"/>
      <c r="O57" s="10"/>
      <c r="P57" s="10"/>
      <c r="Q57" s="10"/>
    </row>
    <row r="58" spans="10:17" x14ac:dyDescent="0.3">
      <c r="J58" s="10"/>
      <c r="K58" s="10"/>
      <c r="L58" s="10"/>
      <c r="M58" s="10"/>
      <c r="N58" s="10"/>
      <c r="O58" s="10"/>
      <c r="P58" s="10"/>
      <c r="Q58" s="10"/>
    </row>
    <row r="59" spans="10:17" x14ac:dyDescent="0.3">
      <c r="J59" s="10"/>
      <c r="K59" s="10"/>
      <c r="L59" s="10"/>
      <c r="M59" s="10"/>
      <c r="N59" s="10"/>
      <c r="O59" s="10"/>
      <c r="P59" s="10"/>
      <c r="Q59" s="10"/>
    </row>
    <row r="60" spans="10:17" x14ac:dyDescent="0.3">
      <c r="J60" s="10"/>
      <c r="K60" s="10"/>
      <c r="L60" s="10"/>
      <c r="M60" s="10"/>
      <c r="N60" s="10"/>
      <c r="O60" s="10"/>
      <c r="P60" s="10"/>
      <c r="Q60" s="10"/>
    </row>
  </sheetData>
  <autoFilter ref="A8:I31" xr:uid="{00000000-0009-0000-0000-000007000000}"/>
  <mergeCells count="11">
    <mergeCell ref="A1:I1"/>
    <mergeCell ref="B40:C40"/>
    <mergeCell ref="B39:C39"/>
    <mergeCell ref="B36:C36"/>
    <mergeCell ref="B41:C41"/>
    <mergeCell ref="B38:C38"/>
    <mergeCell ref="B35:C35"/>
    <mergeCell ref="B37:C37"/>
    <mergeCell ref="A2:I2"/>
    <mergeCell ref="A34:I34"/>
    <mergeCell ref="B5:C5"/>
  </mergeCells>
  <conditionalFormatting sqref="H9:H31">
    <cfRule type="cellIs" dxfId="1" priority="1" operator="equal">
      <formula>"Tuntas"</formula>
    </cfRule>
    <cfRule type="cellIs" dxfId="0" priority="2" operator="equal">
      <formula>"Belum Tuntas"</formula>
    </cfRule>
  </conditionalFormatting>
  <dataValidations count="1">
    <dataValidation type="list" allowBlank="1" sqref="C9:C31" xr:uid="{00000000-0002-0000-0700-000000000000}">
      <formula1>"L,P"</formula1>
    </dataValidation>
  </dataValidation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xr:uid="{00000000-0002-0000-0700-000001000000}">
          <x14:formula1>
            <xm:f>0</xm:f>
          </x14:formula1>
          <x14:formula2>
            <xm:f>'FORMAT PENILAIAN'!$B$6</xm:f>
          </x14:formula2>
          <xm:sqref>D9:K48 M9:M48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8</vt:i4>
      </vt:variant>
      <vt:variant>
        <vt:lpstr>Rentang Bernama</vt:lpstr>
      </vt:variant>
      <vt:variant>
        <vt:i4>12</vt:i4>
      </vt:variant>
    </vt:vector>
  </HeadingPairs>
  <TitlesOfParts>
    <vt:vector size="20" baseType="lpstr">
      <vt:lpstr>IDENTITAS SEKOLAH</vt:lpstr>
      <vt:lpstr>FORMAT PENILAIAN</vt:lpstr>
      <vt:lpstr>7</vt:lpstr>
      <vt:lpstr>8A</vt:lpstr>
      <vt:lpstr>8B</vt:lpstr>
      <vt:lpstr>9A</vt:lpstr>
      <vt:lpstr>9B</vt:lpstr>
      <vt:lpstr>SMA</vt:lpstr>
      <vt:lpstr>'7'!Print_Area</vt:lpstr>
      <vt:lpstr>'8A'!Print_Area</vt:lpstr>
      <vt:lpstr>'8B'!Print_Area</vt:lpstr>
      <vt:lpstr>'9A'!Print_Area</vt:lpstr>
      <vt:lpstr>'9B'!Print_Area</vt:lpstr>
      <vt:lpstr>SMA!Print_Area</vt:lpstr>
      <vt:lpstr>'7'!Print_Titles</vt:lpstr>
      <vt:lpstr>'8A'!Print_Titles</vt:lpstr>
      <vt:lpstr>'8B'!Print_Titles</vt:lpstr>
      <vt:lpstr>'9A'!Print_Titles</vt:lpstr>
      <vt:lpstr>'9B'!Print_Titles</vt:lpstr>
      <vt:lpstr>SMA!Print_Titles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Bandy</cp:lastModifiedBy>
  <dcterms:created xsi:type="dcterms:W3CDTF">2026-09-30T01:04:16Z</dcterms:created>
  <dcterms:modified xsi:type="dcterms:W3CDTF">2026-09-30T01:59:04Z</dcterms:modified>
</cp:coreProperties>
</file>